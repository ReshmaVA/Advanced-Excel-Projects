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hidePivotFieldList="1" defaultThemeVersion="166925"/>
  <mc:AlternateContent xmlns:mc="http://schemas.openxmlformats.org/markup-compatibility/2006">
    <mc:Choice Requires="x15">
      <x15ac:absPath xmlns:x15ac="http://schemas.microsoft.com/office/spreadsheetml/2010/11/ac" url="/Users/balagopalnair/Documents/Advanced Data Science and Generative AI Course/Modules/Advanced Excel -Spreadsheets for Data Understanding/Practice Files/Excel Project/"/>
    </mc:Choice>
  </mc:AlternateContent>
  <xr:revisionPtr revIDLastSave="0" documentId="13_ncr:1_{6D2623C3-7549-074E-98AA-BB5657C514B2}" xr6:coauthVersionLast="47" xr6:coauthVersionMax="47" xr10:uidLastSave="{00000000-0000-0000-0000-000000000000}"/>
  <bookViews>
    <workbookView xWindow="0" yWindow="0" windowWidth="28800" windowHeight="18000" activeTab="1" xr2:uid="{14B5E728-5A94-4FD7-B36B-87F5034816CF}"/>
  </bookViews>
  <sheets>
    <sheet name="Data" sheetId="1" r:id="rId1"/>
    <sheet name="Dashboard" sheetId="2" r:id="rId2"/>
    <sheet name="Date Notes" sheetId="4" r:id="rId3"/>
  </sheets>
  <definedNames>
    <definedName name="_xlchart.v1.0" hidden="1">Data!$D$3</definedName>
    <definedName name="_xlchart.v1.1" hidden="1">Data!$H$4:$H$268</definedName>
    <definedName name="_xlchart.v1.10" hidden="1">Data!$J$3</definedName>
    <definedName name="_xlchart.v1.11" hidden="1">Data!$J$4:$J$268</definedName>
    <definedName name="_xlchart.v1.2" hidden="1">Data!$J$4:$J$268</definedName>
    <definedName name="_xlchart.v1.3" hidden="1">Data!$D$3</definedName>
    <definedName name="_xlchart.v1.4" hidden="1">Data!$H$4:$H$268</definedName>
    <definedName name="_xlchart.v1.5" hidden="1">Data!$J$4:$J$268</definedName>
    <definedName name="_xlchart.v1.6" hidden="1">Data!$H$4:$H$268</definedName>
    <definedName name="_xlchart.v1.7" hidden="1">Data!$J$3</definedName>
    <definedName name="_xlchart.v1.8" hidden="1">Data!$J$4:$J$268</definedName>
    <definedName name="_xlchart.v1.9" hidden="1">Data!$H$4:$H$268</definedName>
    <definedName name="Slicer_City">#N/A</definedName>
    <definedName name="Slicer_Customer">#N/A</definedName>
    <definedName name="Slicer_Fiscal_Perio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2" l="1"/>
  <c r="S6" i="2"/>
  <c r="S5" i="2"/>
  <c r="S4" i="2"/>
  <c r="S3" i="2"/>
  <c r="I157" i="4"/>
  <c r="G157" i="4"/>
  <c r="F157" i="4"/>
  <c r="E157" i="4"/>
  <c r="D157" i="4"/>
  <c r="C157" i="4"/>
  <c r="B157" i="4"/>
  <c r="I156" i="4"/>
  <c r="G156" i="4"/>
  <c r="F156" i="4"/>
  <c r="E156" i="4"/>
  <c r="D156" i="4"/>
  <c r="C156" i="4"/>
  <c r="B156" i="4"/>
  <c r="I155" i="4"/>
  <c r="G155" i="4"/>
  <c r="F155" i="4"/>
  <c r="E155" i="4"/>
  <c r="D155" i="4"/>
  <c r="C155" i="4"/>
  <c r="B155" i="4"/>
  <c r="I154" i="4"/>
  <c r="G154" i="4"/>
  <c r="F154" i="4"/>
  <c r="E154" i="4"/>
  <c r="D154" i="4"/>
  <c r="C154" i="4"/>
  <c r="B154" i="4"/>
  <c r="I153" i="4"/>
  <c r="G153" i="4"/>
  <c r="F153" i="4"/>
  <c r="E153" i="4"/>
  <c r="D153" i="4"/>
  <c r="C153" i="4"/>
  <c r="B153" i="4"/>
  <c r="I152" i="4"/>
  <c r="G152" i="4"/>
  <c r="F152" i="4"/>
  <c r="E152" i="4"/>
  <c r="D152" i="4"/>
  <c r="C152" i="4"/>
  <c r="B152" i="4"/>
  <c r="I151" i="4"/>
  <c r="G151" i="4"/>
  <c r="F151" i="4"/>
  <c r="E151" i="4"/>
  <c r="D151" i="4"/>
  <c r="C151" i="4"/>
  <c r="B151" i="4"/>
  <c r="I150" i="4"/>
  <c r="G150" i="4"/>
  <c r="F150" i="4"/>
  <c r="E150" i="4"/>
  <c r="D150" i="4"/>
  <c r="C150" i="4"/>
  <c r="B150" i="4"/>
  <c r="I149" i="4"/>
  <c r="G149" i="4"/>
  <c r="F149" i="4"/>
  <c r="E149" i="4"/>
  <c r="D149" i="4"/>
  <c r="C149" i="4"/>
  <c r="B149" i="4"/>
  <c r="I148" i="4"/>
  <c r="G148" i="4"/>
  <c r="F148" i="4"/>
  <c r="E148" i="4"/>
  <c r="D148" i="4"/>
  <c r="C148" i="4"/>
  <c r="B148" i="4"/>
  <c r="I147" i="4"/>
  <c r="G147" i="4"/>
  <c r="F147" i="4"/>
  <c r="E147" i="4"/>
  <c r="D147" i="4"/>
  <c r="C147" i="4"/>
  <c r="B147" i="4"/>
  <c r="I146" i="4"/>
  <c r="G146" i="4"/>
  <c r="F146" i="4"/>
  <c r="E146" i="4"/>
  <c r="D146" i="4"/>
  <c r="C146" i="4"/>
  <c r="B146" i="4"/>
  <c r="I145" i="4"/>
  <c r="G145" i="4"/>
  <c r="F145" i="4"/>
  <c r="E145" i="4"/>
  <c r="D145" i="4"/>
  <c r="C145" i="4"/>
  <c r="B145" i="4"/>
  <c r="I144" i="4"/>
  <c r="G144" i="4"/>
  <c r="F144" i="4"/>
  <c r="E144" i="4"/>
  <c r="D144" i="4"/>
  <c r="C144" i="4"/>
  <c r="B144" i="4"/>
  <c r="I143" i="4"/>
  <c r="G143" i="4"/>
  <c r="F143" i="4"/>
  <c r="E143" i="4"/>
  <c r="D143" i="4"/>
  <c r="C143" i="4"/>
  <c r="B143" i="4"/>
  <c r="I142" i="4"/>
  <c r="G142" i="4"/>
  <c r="F142" i="4"/>
  <c r="E142" i="4"/>
  <c r="D142" i="4"/>
  <c r="C142" i="4"/>
  <c r="B142" i="4"/>
  <c r="I141" i="4"/>
  <c r="G141" i="4"/>
  <c r="F141" i="4"/>
  <c r="E141" i="4"/>
  <c r="D141" i="4"/>
  <c r="C141" i="4"/>
  <c r="B141" i="4"/>
  <c r="I140" i="4"/>
  <c r="G140" i="4"/>
  <c r="F140" i="4"/>
  <c r="E140" i="4"/>
  <c r="D140" i="4"/>
  <c r="C140" i="4"/>
  <c r="B140" i="4"/>
  <c r="I139" i="4"/>
  <c r="G139" i="4"/>
  <c r="F139" i="4"/>
  <c r="E139" i="4"/>
  <c r="D139" i="4"/>
  <c r="C139" i="4"/>
  <c r="B139" i="4"/>
  <c r="I138" i="4"/>
  <c r="G138" i="4"/>
  <c r="F138" i="4"/>
  <c r="E138" i="4"/>
  <c r="D138" i="4"/>
  <c r="C138" i="4"/>
  <c r="B138" i="4"/>
  <c r="I137" i="4"/>
  <c r="G137" i="4"/>
  <c r="F137" i="4"/>
  <c r="E137" i="4"/>
  <c r="D137" i="4"/>
  <c r="C137" i="4"/>
  <c r="B137" i="4"/>
  <c r="I136" i="4"/>
  <c r="G136" i="4"/>
  <c r="F136" i="4"/>
  <c r="E136" i="4"/>
  <c r="D136" i="4"/>
  <c r="C136" i="4"/>
  <c r="B136" i="4"/>
  <c r="I135" i="4"/>
  <c r="G135" i="4"/>
  <c r="F135" i="4"/>
  <c r="E135" i="4"/>
  <c r="D135" i="4"/>
  <c r="C135" i="4"/>
  <c r="B135" i="4"/>
  <c r="I134" i="4"/>
  <c r="G134" i="4"/>
  <c r="F134" i="4"/>
  <c r="E134" i="4"/>
  <c r="D134" i="4"/>
  <c r="C134" i="4"/>
  <c r="B134" i="4"/>
  <c r="I133" i="4"/>
  <c r="G133" i="4"/>
  <c r="F133" i="4"/>
  <c r="E133" i="4"/>
  <c r="D133" i="4"/>
  <c r="C133" i="4"/>
  <c r="B133" i="4"/>
  <c r="I132" i="4"/>
  <c r="G132" i="4"/>
  <c r="F132" i="4"/>
  <c r="E132" i="4"/>
  <c r="D132" i="4"/>
  <c r="C132" i="4"/>
  <c r="B132" i="4"/>
  <c r="I131" i="4"/>
  <c r="G131" i="4"/>
  <c r="F131" i="4"/>
  <c r="E131" i="4"/>
  <c r="D131" i="4"/>
  <c r="C131" i="4"/>
  <c r="B131" i="4"/>
  <c r="I130" i="4"/>
  <c r="G130" i="4"/>
  <c r="F130" i="4"/>
  <c r="E130" i="4"/>
  <c r="D130" i="4"/>
  <c r="C130" i="4"/>
  <c r="B130" i="4"/>
  <c r="I129" i="4"/>
  <c r="G129" i="4"/>
  <c r="F129" i="4"/>
  <c r="E129" i="4"/>
  <c r="D129" i="4"/>
  <c r="C129" i="4"/>
  <c r="B129" i="4"/>
  <c r="I128" i="4"/>
  <c r="G128" i="4"/>
  <c r="F128" i="4"/>
  <c r="E128" i="4"/>
  <c r="D128" i="4"/>
  <c r="C128" i="4"/>
  <c r="B128" i="4"/>
  <c r="I127" i="4"/>
  <c r="G127" i="4"/>
  <c r="F127" i="4"/>
  <c r="E127" i="4"/>
  <c r="D127" i="4"/>
  <c r="C127" i="4"/>
  <c r="B127" i="4"/>
  <c r="I126" i="4"/>
  <c r="G126" i="4"/>
  <c r="F126" i="4"/>
  <c r="E126" i="4"/>
  <c r="D126" i="4"/>
  <c r="C126" i="4"/>
  <c r="B126" i="4"/>
  <c r="I125" i="4"/>
  <c r="G125" i="4"/>
  <c r="F125" i="4"/>
  <c r="E125" i="4"/>
  <c r="D125" i="4"/>
  <c r="C125" i="4"/>
  <c r="B125" i="4"/>
  <c r="I124" i="4"/>
  <c r="G124" i="4"/>
  <c r="F124" i="4"/>
  <c r="E124" i="4"/>
  <c r="D124" i="4"/>
  <c r="C124" i="4"/>
  <c r="B124" i="4"/>
  <c r="I123" i="4"/>
  <c r="G123" i="4"/>
  <c r="F123" i="4"/>
  <c r="E123" i="4"/>
  <c r="D123" i="4"/>
  <c r="C123" i="4"/>
  <c r="B123" i="4"/>
  <c r="I122" i="4"/>
  <c r="G122" i="4"/>
  <c r="F122" i="4"/>
  <c r="E122" i="4"/>
  <c r="D122" i="4"/>
  <c r="C122" i="4"/>
  <c r="B122" i="4"/>
  <c r="I121" i="4"/>
  <c r="G121" i="4"/>
  <c r="F121" i="4"/>
  <c r="E121" i="4"/>
  <c r="D121" i="4"/>
  <c r="C121" i="4"/>
  <c r="B121" i="4"/>
  <c r="I120" i="4"/>
  <c r="G120" i="4"/>
  <c r="F120" i="4"/>
  <c r="E120" i="4"/>
  <c r="D120" i="4"/>
  <c r="C120" i="4"/>
  <c r="B120" i="4"/>
  <c r="I119" i="4"/>
  <c r="G119" i="4"/>
  <c r="F119" i="4"/>
  <c r="E119" i="4"/>
  <c r="D119" i="4"/>
  <c r="C119" i="4"/>
  <c r="B119" i="4"/>
  <c r="I118" i="4"/>
  <c r="G118" i="4"/>
  <c r="F118" i="4"/>
  <c r="E118" i="4"/>
  <c r="D118" i="4"/>
  <c r="C118" i="4"/>
  <c r="B118" i="4"/>
  <c r="I117" i="4"/>
  <c r="G117" i="4"/>
  <c r="F117" i="4"/>
  <c r="E117" i="4"/>
  <c r="D117" i="4"/>
  <c r="C117" i="4"/>
  <c r="B117" i="4"/>
  <c r="I116" i="4"/>
  <c r="G116" i="4"/>
  <c r="F116" i="4"/>
  <c r="E116" i="4"/>
  <c r="D116" i="4"/>
  <c r="C116" i="4"/>
  <c r="B116" i="4"/>
  <c r="I115" i="4"/>
  <c r="G115" i="4"/>
  <c r="F115" i="4"/>
  <c r="E115" i="4"/>
  <c r="D115" i="4"/>
  <c r="C115" i="4"/>
  <c r="B115" i="4"/>
  <c r="I114" i="4"/>
  <c r="G114" i="4"/>
  <c r="F114" i="4"/>
  <c r="E114" i="4"/>
  <c r="D114" i="4"/>
  <c r="C114" i="4"/>
  <c r="B114" i="4"/>
  <c r="I113" i="4"/>
  <c r="G113" i="4"/>
  <c r="F113" i="4"/>
  <c r="E113" i="4"/>
  <c r="D113" i="4"/>
  <c r="C113" i="4"/>
  <c r="B113" i="4"/>
  <c r="I112" i="4"/>
  <c r="G112" i="4"/>
  <c r="F112" i="4"/>
  <c r="E112" i="4"/>
  <c r="D112" i="4"/>
  <c r="C112" i="4"/>
  <c r="B112" i="4"/>
  <c r="I111" i="4"/>
  <c r="G111" i="4"/>
  <c r="F111" i="4"/>
  <c r="E111" i="4"/>
  <c r="D111" i="4"/>
  <c r="C111" i="4"/>
  <c r="B111" i="4"/>
  <c r="I110" i="4"/>
  <c r="G110" i="4"/>
  <c r="F110" i="4"/>
  <c r="E110" i="4"/>
  <c r="D110" i="4"/>
  <c r="C110" i="4"/>
  <c r="B110" i="4"/>
  <c r="I109" i="4"/>
  <c r="G109" i="4"/>
  <c r="F109" i="4"/>
  <c r="E109" i="4"/>
  <c r="D109" i="4"/>
  <c r="C109" i="4"/>
  <c r="B109" i="4"/>
  <c r="I108" i="4"/>
  <c r="G108" i="4"/>
  <c r="F108" i="4"/>
  <c r="E108" i="4"/>
  <c r="D108" i="4"/>
  <c r="C108" i="4"/>
  <c r="B108" i="4"/>
  <c r="I107" i="4"/>
  <c r="G107" i="4"/>
  <c r="F107" i="4"/>
  <c r="E107" i="4"/>
  <c r="D107" i="4"/>
  <c r="C107" i="4"/>
  <c r="B107" i="4"/>
  <c r="I106" i="4"/>
  <c r="G106" i="4"/>
  <c r="F106" i="4"/>
  <c r="E106" i="4"/>
  <c r="D106" i="4"/>
  <c r="C106" i="4"/>
  <c r="B106" i="4"/>
  <c r="I105" i="4"/>
  <c r="G105" i="4"/>
  <c r="F105" i="4"/>
  <c r="E105" i="4"/>
  <c r="D105" i="4"/>
  <c r="C105" i="4"/>
  <c r="B105" i="4"/>
  <c r="I104" i="4"/>
  <c r="G104" i="4"/>
  <c r="F104" i="4"/>
  <c r="E104" i="4"/>
  <c r="D104" i="4"/>
  <c r="C104" i="4"/>
  <c r="B104" i="4"/>
  <c r="I103" i="4"/>
  <c r="G103" i="4"/>
  <c r="F103" i="4"/>
  <c r="E103" i="4"/>
  <c r="D103" i="4"/>
  <c r="C103" i="4"/>
  <c r="B103" i="4"/>
  <c r="I102" i="4"/>
  <c r="G102" i="4"/>
  <c r="F102" i="4"/>
  <c r="E102" i="4"/>
  <c r="D102" i="4"/>
  <c r="C102" i="4"/>
  <c r="B102" i="4"/>
  <c r="I101" i="4"/>
  <c r="G101" i="4"/>
  <c r="F101" i="4"/>
  <c r="E101" i="4"/>
  <c r="D101" i="4"/>
  <c r="C101" i="4"/>
  <c r="B101" i="4"/>
  <c r="I100" i="4"/>
  <c r="G100" i="4"/>
  <c r="F100" i="4"/>
  <c r="E100" i="4"/>
  <c r="D100" i="4"/>
  <c r="C100" i="4"/>
  <c r="B100" i="4"/>
  <c r="I99" i="4"/>
  <c r="G99" i="4"/>
  <c r="F99" i="4"/>
  <c r="E99" i="4"/>
  <c r="D99" i="4"/>
  <c r="C99" i="4"/>
  <c r="B99" i="4"/>
  <c r="I98" i="4"/>
  <c r="G98" i="4"/>
  <c r="F98" i="4"/>
  <c r="E98" i="4"/>
  <c r="D98" i="4"/>
  <c r="C98" i="4"/>
  <c r="B98" i="4"/>
  <c r="I97" i="4"/>
  <c r="G97" i="4"/>
  <c r="F97" i="4"/>
  <c r="E97" i="4"/>
  <c r="D97" i="4"/>
  <c r="C97" i="4"/>
  <c r="B97" i="4"/>
  <c r="I96" i="4"/>
  <c r="G96" i="4"/>
  <c r="F96" i="4"/>
  <c r="E96" i="4"/>
  <c r="D96" i="4"/>
  <c r="C96" i="4"/>
  <c r="B96" i="4"/>
  <c r="I95" i="4"/>
  <c r="G95" i="4"/>
  <c r="F95" i="4"/>
  <c r="E95" i="4"/>
  <c r="D95" i="4"/>
  <c r="C95" i="4"/>
  <c r="B95" i="4"/>
  <c r="I94" i="4"/>
  <c r="G94" i="4"/>
  <c r="F94" i="4"/>
  <c r="E94" i="4"/>
  <c r="D94" i="4"/>
  <c r="C94" i="4"/>
  <c r="B94" i="4"/>
  <c r="I93" i="4"/>
  <c r="G93" i="4"/>
  <c r="F93" i="4"/>
  <c r="E93" i="4"/>
  <c r="D93" i="4"/>
  <c r="C93" i="4"/>
  <c r="B93" i="4"/>
  <c r="I92" i="4"/>
  <c r="G92" i="4"/>
  <c r="F92" i="4"/>
  <c r="E92" i="4"/>
  <c r="D92" i="4"/>
  <c r="C92" i="4"/>
  <c r="B92" i="4"/>
  <c r="I91" i="4"/>
  <c r="G91" i="4"/>
  <c r="F91" i="4"/>
  <c r="E91" i="4"/>
  <c r="D91" i="4"/>
  <c r="C91" i="4"/>
  <c r="B91" i="4"/>
  <c r="I90" i="4"/>
  <c r="G90" i="4"/>
  <c r="F90" i="4"/>
  <c r="E90" i="4"/>
  <c r="D90" i="4"/>
  <c r="C90" i="4"/>
  <c r="B90" i="4"/>
  <c r="I89" i="4"/>
  <c r="G89" i="4"/>
  <c r="F89" i="4"/>
  <c r="E89" i="4"/>
  <c r="D89" i="4"/>
  <c r="C89" i="4"/>
  <c r="B89" i="4"/>
  <c r="I88" i="4"/>
  <c r="G88" i="4"/>
  <c r="F88" i="4"/>
  <c r="E88" i="4"/>
  <c r="D88" i="4"/>
  <c r="C88" i="4"/>
  <c r="B88" i="4"/>
  <c r="I87" i="4"/>
  <c r="G87" i="4"/>
  <c r="F87" i="4"/>
  <c r="E87" i="4"/>
  <c r="D87" i="4"/>
  <c r="C87" i="4"/>
  <c r="B87" i="4"/>
  <c r="I86" i="4"/>
  <c r="G86" i="4"/>
  <c r="F86" i="4"/>
  <c r="E86" i="4"/>
  <c r="D86" i="4"/>
  <c r="C86" i="4"/>
  <c r="B86" i="4"/>
  <c r="I85" i="4"/>
  <c r="G85" i="4"/>
  <c r="F85" i="4"/>
  <c r="E85" i="4"/>
  <c r="D85" i="4"/>
  <c r="C85" i="4"/>
  <c r="B85" i="4"/>
  <c r="I84" i="4"/>
  <c r="G84" i="4"/>
  <c r="F84" i="4"/>
  <c r="E84" i="4"/>
  <c r="D84" i="4"/>
  <c r="C84" i="4"/>
  <c r="B84" i="4"/>
  <c r="I83" i="4"/>
  <c r="G83" i="4"/>
  <c r="F83" i="4"/>
  <c r="E83" i="4"/>
  <c r="D83" i="4"/>
  <c r="C83" i="4"/>
  <c r="B83" i="4"/>
  <c r="I82" i="4"/>
  <c r="G82" i="4"/>
  <c r="F82" i="4"/>
  <c r="E82" i="4"/>
  <c r="D82" i="4"/>
  <c r="C82" i="4"/>
  <c r="B82" i="4"/>
  <c r="I81" i="4"/>
  <c r="G81" i="4"/>
  <c r="F81" i="4"/>
  <c r="E81" i="4"/>
  <c r="D81" i="4"/>
  <c r="C81" i="4"/>
  <c r="B81" i="4"/>
  <c r="I80" i="4"/>
  <c r="G80" i="4"/>
  <c r="F80" i="4"/>
  <c r="E80" i="4"/>
  <c r="D80" i="4"/>
  <c r="C80" i="4"/>
  <c r="B80" i="4"/>
  <c r="I79" i="4"/>
  <c r="G79" i="4"/>
  <c r="F79" i="4"/>
  <c r="E79" i="4"/>
  <c r="D79" i="4"/>
  <c r="C79" i="4"/>
  <c r="B79" i="4"/>
  <c r="I78" i="4"/>
  <c r="G78" i="4"/>
  <c r="F78" i="4"/>
  <c r="E78" i="4"/>
  <c r="D78" i="4"/>
  <c r="C78" i="4"/>
  <c r="B78" i="4"/>
  <c r="I77" i="4"/>
  <c r="G77" i="4"/>
  <c r="F77" i="4"/>
  <c r="E77" i="4"/>
  <c r="D77" i="4"/>
  <c r="C77" i="4"/>
  <c r="B77" i="4"/>
  <c r="I76" i="4"/>
  <c r="G76" i="4"/>
  <c r="F76" i="4"/>
  <c r="E76" i="4"/>
  <c r="D76" i="4"/>
  <c r="C76" i="4"/>
  <c r="B76" i="4"/>
  <c r="I75" i="4"/>
  <c r="G75" i="4"/>
  <c r="F75" i="4"/>
  <c r="E75" i="4"/>
  <c r="D75" i="4"/>
  <c r="C75" i="4"/>
  <c r="B75" i="4"/>
  <c r="I74" i="4"/>
  <c r="G74" i="4"/>
  <c r="F74" i="4"/>
  <c r="E74" i="4"/>
  <c r="D74" i="4"/>
  <c r="C74" i="4"/>
  <c r="B74" i="4"/>
  <c r="I73" i="4"/>
  <c r="G73" i="4"/>
  <c r="F73" i="4"/>
  <c r="E73" i="4"/>
  <c r="D73" i="4"/>
  <c r="C73" i="4"/>
  <c r="B73" i="4"/>
  <c r="I72" i="4"/>
  <c r="G72" i="4"/>
  <c r="F72" i="4"/>
  <c r="E72" i="4"/>
  <c r="D72" i="4"/>
  <c r="C72" i="4"/>
  <c r="B72" i="4"/>
  <c r="I71" i="4"/>
  <c r="G71" i="4"/>
  <c r="F71" i="4"/>
  <c r="E71" i="4"/>
  <c r="D71" i="4"/>
  <c r="C71" i="4"/>
  <c r="B71" i="4"/>
  <c r="I70" i="4"/>
  <c r="G70" i="4"/>
  <c r="F70" i="4"/>
  <c r="E70" i="4"/>
  <c r="D70" i="4"/>
  <c r="C70" i="4"/>
  <c r="B70" i="4"/>
  <c r="I69" i="4"/>
  <c r="G69" i="4"/>
  <c r="F69" i="4"/>
  <c r="E69" i="4"/>
  <c r="D69" i="4"/>
  <c r="C69" i="4"/>
  <c r="B69" i="4"/>
  <c r="I68" i="4"/>
  <c r="G68" i="4"/>
  <c r="F68" i="4"/>
  <c r="E68" i="4"/>
  <c r="D68" i="4"/>
  <c r="C68" i="4"/>
  <c r="B68" i="4"/>
  <c r="I67" i="4"/>
  <c r="G67" i="4"/>
  <c r="F67" i="4"/>
  <c r="E67" i="4"/>
  <c r="D67" i="4"/>
  <c r="C67" i="4"/>
  <c r="B67" i="4"/>
  <c r="I66" i="4"/>
  <c r="G66" i="4"/>
  <c r="F66" i="4"/>
  <c r="E66" i="4"/>
  <c r="D66" i="4"/>
  <c r="C66" i="4"/>
  <c r="B66" i="4"/>
  <c r="I65" i="4"/>
  <c r="G65" i="4"/>
  <c r="F65" i="4"/>
  <c r="E65" i="4"/>
  <c r="D65" i="4"/>
  <c r="C65" i="4"/>
  <c r="B65" i="4"/>
  <c r="I64" i="4"/>
  <c r="G64" i="4"/>
  <c r="F64" i="4"/>
  <c r="E64" i="4"/>
  <c r="D64" i="4"/>
  <c r="C64" i="4"/>
  <c r="B64" i="4"/>
  <c r="I63" i="4"/>
  <c r="G63" i="4"/>
  <c r="F63" i="4"/>
  <c r="E63" i="4"/>
  <c r="D63" i="4"/>
  <c r="C63" i="4"/>
  <c r="B63" i="4"/>
  <c r="I62" i="4"/>
  <c r="G62" i="4"/>
  <c r="F62" i="4"/>
  <c r="E62" i="4"/>
  <c r="D62" i="4"/>
  <c r="C62" i="4"/>
  <c r="B62" i="4"/>
  <c r="I61" i="4"/>
  <c r="G61" i="4"/>
  <c r="F61" i="4"/>
  <c r="E61" i="4"/>
  <c r="D61" i="4"/>
  <c r="C61" i="4"/>
  <c r="B61" i="4"/>
  <c r="I60" i="4"/>
  <c r="G60" i="4"/>
  <c r="F60" i="4"/>
  <c r="E60" i="4"/>
  <c r="D60" i="4"/>
  <c r="C60" i="4"/>
  <c r="B60" i="4"/>
  <c r="I59" i="4"/>
  <c r="G59" i="4"/>
  <c r="F59" i="4"/>
  <c r="E59" i="4"/>
  <c r="D59" i="4"/>
  <c r="C59" i="4"/>
  <c r="B59" i="4"/>
  <c r="I58" i="4"/>
  <c r="G58" i="4"/>
  <c r="F58" i="4"/>
  <c r="E58" i="4"/>
  <c r="D58" i="4"/>
  <c r="C58" i="4"/>
  <c r="B58" i="4"/>
  <c r="I57" i="4"/>
  <c r="G57" i="4"/>
  <c r="F57" i="4"/>
  <c r="E57" i="4"/>
  <c r="D57" i="4"/>
  <c r="C57" i="4"/>
  <c r="B57" i="4"/>
  <c r="I56" i="4"/>
  <c r="G56" i="4"/>
  <c r="F56" i="4"/>
  <c r="E56" i="4"/>
  <c r="D56" i="4"/>
  <c r="C56" i="4"/>
  <c r="B56" i="4"/>
  <c r="I55" i="4"/>
  <c r="G55" i="4"/>
  <c r="F55" i="4"/>
  <c r="E55" i="4"/>
  <c r="D55" i="4"/>
  <c r="C55" i="4"/>
  <c r="B55" i="4"/>
  <c r="I54" i="4"/>
  <c r="G54" i="4"/>
  <c r="F54" i="4"/>
  <c r="E54" i="4"/>
  <c r="D54" i="4"/>
  <c r="C54" i="4"/>
  <c r="B54" i="4"/>
  <c r="I53" i="4"/>
  <c r="G53" i="4"/>
  <c r="F53" i="4"/>
  <c r="E53" i="4"/>
  <c r="D53" i="4"/>
  <c r="C53" i="4"/>
  <c r="B53" i="4"/>
  <c r="I52" i="4"/>
  <c r="G52" i="4"/>
  <c r="F52" i="4"/>
  <c r="E52" i="4"/>
  <c r="D52" i="4"/>
  <c r="C52" i="4"/>
  <c r="B52" i="4"/>
  <c r="I51" i="4"/>
  <c r="G51" i="4"/>
  <c r="F51" i="4"/>
  <c r="E51" i="4"/>
  <c r="D51" i="4"/>
  <c r="C51" i="4"/>
  <c r="B51" i="4"/>
  <c r="I50" i="4"/>
  <c r="G50" i="4"/>
  <c r="F50" i="4"/>
  <c r="E50" i="4"/>
  <c r="D50" i="4"/>
  <c r="C50" i="4"/>
  <c r="B50" i="4"/>
  <c r="I49" i="4"/>
  <c r="G49" i="4"/>
  <c r="F49" i="4"/>
  <c r="E49" i="4"/>
  <c r="D49" i="4"/>
  <c r="C49" i="4"/>
  <c r="B49" i="4"/>
  <c r="I48" i="4"/>
  <c r="G48" i="4"/>
  <c r="F48" i="4"/>
  <c r="E48" i="4"/>
  <c r="D48" i="4"/>
  <c r="C48" i="4"/>
  <c r="B48" i="4"/>
  <c r="I47" i="4"/>
  <c r="G47" i="4"/>
  <c r="F47" i="4"/>
  <c r="E47" i="4"/>
  <c r="D47" i="4"/>
  <c r="C47" i="4"/>
  <c r="B47" i="4"/>
  <c r="I46" i="4"/>
  <c r="G46" i="4"/>
  <c r="F46" i="4"/>
  <c r="E46" i="4"/>
  <c r="D46" i="4"/>
  <c r="C46" i="4"/>
  <c r="B46" i="4"/>
  <c r="I45" i="4"/>
  <c r="G45" i="4"/>
  <c r="F45" i="4"/>
  <c r="E45" i="4"/>
  <c r="D45" i="4"/>
  <c r="C45" i="4"/>
  <c r="B45" i="4"/>
  <c r="I44" i="4"/>
  <c r="G44" i="4"/>
  <c r="F44" i="4"/>
  <c r="E44" i="4"/>
  <c r="D44" i="4"/>
  <c r="C44" i="4"/>
  <c r="B44" i="4"/>
  <c r="I43" i="4"/>
  <c r="G43" i="4"/>
  <c r="F43" i="4"/>
  <c r="E43" i="4"/>
  <c r="D43" i="4"/>
  <c r="C43" i="4"/>
  <c r="B43" i="4"/>
  <c r="I42" i="4"/>
  <c r="G42" i="4"/>
  <c r="F42" i="4"/>
  <c r="E42" i="4"/>
  <c r="D42" i="4"/>
  <c r="C42" i="4"/>
  <c r="B42" i="4"/>
  <c r="I41" i="4"/>
  <c r="G41" i="4"/>
  <c r="F41" i="4"/>
  <c r="E41" i="4"/>
  <c r="D41" i="4"/>
  <c r="C41" i="4"/>
  <c r="B41" i="4"/>
  <c r="I40" i="4"/>
  <c r="G40" i="4"/>
  <c r="F40" i="4"/>
  <c r="E40" i="4"/>
  <c r="D40" i="4"/>
  <c r="C40" i="4"/>
  <c r="B40" i="4"/>
  <c r="I39" i="4"/>
  <c r="G39" i="4"/>
  <c r="F39" i="4"/>
  <c r="E39" i="4"/>
  <c r="D39" i="4"/>
  <c r="C39" i="4"/>
  <c r="B39" i="4"/>
  <c r="I38" i="4"/>
  <c r="G38" i="4"/>
  <c r="F38" i="4"/>
  <c r="E38" i="4"/>
  <c r="D38" i="4"/>
  <c r="C38" i="4"/>
  <c r="B38" i="4"/>
  <c r="I37" i="4"/>
  <c r="G37" i="4"/>
  <c r="F37" i="4"/>
  <c r="E37" i="4"/>
  <c r="D37" i="4"/>
  <c r="C37" i="4"/>
  <c r="B37" i="4"/>
  <c r="I36" i="4"/>
  <c r="G36" i="4"/>
  <c r="F36" i="4"/>
  <c r="E36" i="4"/>
  <c r="D36" i="4"/>
  <c r="C36" i="4"/>
  <c r="B36" i="4"/>
  <c r="I35" i="4"/>
  <c r="G35" i="4"/>
  <c r="F35" i="4"/>
  <c r="E35" i="4"/>
  <c r="D35" i="4"/>
  <c r="C35" i="4"/>
  <c r="B35" i="4"/>
  <c r="I34" i="4"/>
  <c r="G34" i="4"/>
  <c r="F34" i="4"/>
  <c r="E34" i="4"/>
  <c r="D34" i="4"/>
  <c r="C34" i="4"/>
  <c r="B34" i="4"/>
  <c r="I33" i="4"/>
  <c r="G33" i="4"/>
  <c r="F33" i="4"/>
  <c r="E33" i="4"/>
  <c r="D33" i="4"/>
  <c r="C33" i="4"/>
  <c r="B33" i="4"/>
  <c r="I32" i="4"/>
  <c r="G32" i="4"/>
  <c r="F32" i="4"/>
  <c r="E32" i="4"/>
  <c r="D32" i="4"/>
  <c r="C32" i="4"/>
  <c r="B32" i="4"/>
  <c r="I31" i="4"/>
  <c r="G31" i="4"/>
  <c r="F31" i="4"/>
  <c r="E31" i="4"/>
  <c r="D31" i="4"/>
  <c r="C31" i="4"/>
  <c r="B31" i="4"/>
  <c r="I30" i="4"/>
  <c r="G30" i="4"/>
  <c r="F30" i="4"/>
  <c r="E30" i="4"/>
  <c r="D30" i="4"/>
  <c r="C30" i="4"/>
  <c r="B30" i="4"/>
  <c r="I29" i="4"/>
  <c r="G29" i="4"/>
  <c r="F29" i="4"/>
  <c r="E29" i="4"/>
  <c r="D29" i="4"/>
  <c r="C29" i="4"/>
  <c r="B29" i="4"/>
  <c r="I28" i="4"/>
  <c r="G28" i="4"/>
  <c r="F28" i="4"/>
  <c r="E28" i="4"/>
  <c r="D28" i="4"/>
  <c r="C28" i="4"/>
  <c r="B28" i="4"/>
  <c r="I27" i="4"/>
  <c r="G27" i="4"/>
  <c r="F27" i="4"/>
  <c r="E27" i="4"/>
  <c r="D27" i="4"/>
  <c r="C27" i="4"/>
  <c r="B27" i="4"/>
  <c r="I26" i="4"/>
  <c r="G26" i="4"/>
  <c r="F26" i="4"/>
  <c r="E26" i="4"/>
  <c r="D26" i="4"/>
  <c r="C26" i="4"/>
  <c r="B26" i="4"/>
  <c r="I25" i="4"/>
  <c r="G25" i="4"/>
  <c r="F25" i="4"/>
  <c r="E25" i="4"/>
  <c r="D25" i="4"/>
  <c r="C25" i="4"/>
  <c r="B25" i="4"/>
  <c r="I24" i="4"/>
  <c r="G24" i="4"/>
  <c r="F24" i="4"/>
  <c r="E24" i="4"/>
  <c r="D24" i="4"/>
  <c r="C24" i="4"/>
  <c r="B24" i="4"/>
  <c r="I23" i="4"/>
  <c r="G23" i="4"/>
  <c r="F23" i="4"/>
  <c r="E23" i="4"/>
  <c r="D23" i="4"/>
  <c r="C23" i="4"/>
  <c r="B23" i="4"/>
  <c r="I22" i="4"/>
  <c r="G22" i="4"/>
  <c r="F22" i="4"/>
  <c r="E22" i="4"/>
  <c r="D22" i="4"/>
  <c r="C22" i="4"/>
  <c r="B22" i="4"/>
  <c r="I21" i="4"/>
  <c r="G21" i="4"/>
  <c r="F21" i="4"/>
  <c r="E21" i="4"/>
  <c r="D21" i="4"/>
  <c r="C21" i="4"/>
  <c r="B21" i="4"/>
  <c r="I20" i="4"/>
  <c r="G20" i="4"/>
  <c r="F20" i="4"/>
  <c r="E20" i="4"/>
  <c r="D20" i="4"/>
  <c r="C20" i="4"/>
  <c r="B20" i="4"/>
  <c r="I19" i="4"/>
  <c r="G19" i="4"/>
  <c r="F19" i="4"/>
  <c r="E19" i="4"/>
  <c r="D19" i="4"/>
  <c r="C19" i="4"/>
  <c r="B19" i="4"/>
  <c r="I18" i="4"/>
  <c r="G18" i="4"/>
  <c r="F18" i="4"/>
  <c r="E18" i="4"/>
  <c r="D18" i="4"/>
  <c r="C18" i="4"/>
  <c r="B18" i="4"/>
  <c r="I17" i="4"/>
  <c r="G17" i="4"/>
  <c r="F17" i="4"/>
  <c r="E17" i="4"/>
  <c r="D17" i="4"/>
  <c r="C17" i="4"/>
  <c r="B17" i="4"/>
  <c r="I16" i="4"/>
  <c r="G16" i="4"/>
  <c r="F16" i="4"/>
  <c r="E16" i="4"/>
  <c r="D16" i="4"/>
  <c r="C16" i="4"/>
  <c r="B16" i="4"/>
  <c r="I15" i="4"/>
  <c r="G15" i="4"/>
  <c r="F15" i="4"/>
  <c r="E15" i="4"/>
  <c r="D15" i="4"/>
  <c r="C15" i="4"/>
  <c r="B15" i="4"/>
  <c r="I14" i="4"/>
  <c r="G14" i="4"/>
  <c r="F14" i="4"/>
  <c r="E14" i="4"/>
  <c r="D14" i="4"/>
  <c r="C14" i="4"/>
  <c r="B14" i="4"/>
  <c r="I13" i="4"/>
  <c r="G13" i="4"/>
  <c r="F13" i="4"/>
  <c r="E13" i="4"/>
  <c r="D13" i="4"/>
  <c r="C13" i="4"/>
  <c r="B13" i="4"/>
  <c r="I12" i="4"/>
  <c r="G12" i="4"/>
  <c r="F12" i="4"/>
  <c r="E12" i="4"/>
  <c r="D12" i="4"/>
  <c r="C12" i="4"/>
  <c r="B12" i="4"/>
  <c r="I11" i="4"/>
  <c r="G11" i="4"/>
  <c r="F11" i="4"/>
  <c r="E11" i="4"/>
  <c r="D11" i="4"/>
  <c r="C11" i="4"/>
  <c r="B11" i="4"/>
  <c r="I10" i="4"/>
  <c r="G10" i="4"/>
  <c r="F10" i="4"/>
  <c r="E10" i="4"/>
  <c r="D10" i="4"/>
  <c r="C10" i="4"/>
  <c r="B10" i="4"/>
  <c r="I9" i="4"/>
  <c r="G9" i="4"/>
  <c r="F9" i="4"/>
  <c r="E9" i="4"/>
  <c r="D9" i="4"/>
  <c r="C9" i="4"/>
  <c r="B9" i="4"/>
  <c r="I8" i="4"/>
  <c r="G8" i="4"/>
  <c r="F8" i="4"/>
  <c r="E8" i="4"/>
  <c r="D8" i="4"/>
  <c r="C8" i="4"/>
  <c r="B8" i="4"/>
  <c r="I7" i="4"/>
  <c r="G7" i="4"/>
  <c r="F7" i="4"/>
  <c r="E7" i="4"/>
  <c r="D7" i="4"/>
  <c r="C7" i="4"/>
  <c r="B7" i="4"/>
  <c r="I6" i="4"/>
  <c r="G6" i="4"/>
  <c r="F6" i="4"/>
  <c r="E6" i="4"/>
  <c r="D6" i="4"/>
  <c r="C6" i="4"/>
  <c r="B6" i="4"/>
  <c r="I5" i="4"/>
  <c r="G5" i="4"/>
  <c r="F5" i="4"/>
  <c r="E5" i="4"/>
  <c r="D5" i="4"/>
  <c r="C5" i="4"/>
  <c r="B5" i="4"/>
  <c r="I4" i="4"/>
  <c r="G4" i="4"/>
  <c r="F4" i="4"/>
  <c r="E4" i="4"/>
  <c r="D4" i="4"/>
  <c r="C4" i="4"/>
  <c r="B4" i="4"/>
  <c r="I3" i="4"/>
  <c r="G3" i="4"/>
  <c r="F3" i="4"/>
  <c r="E3" i="4"/>
  <c r="D3" i="4"/>
  <c r="C3" i="4"/>
  <c r="B3" i="4"/>
  <c r="I2" i="4"/>
  <c r="G2" i="4"/>
  <c r="F2" i="4"/>
  <c r="E2" i="4"/>
  <c r="D2" i="4"/>
  <c r="C2" i="4"/>
  <c r="B2" i="4"/>
</calcChain>
</file>

<file path=xl/sharedStrings.xml><?xml version="1.0" encoding="utf-8"?>
<sst xmlns="http://schemas.openxmlformats.org/spreadsheetml/2006/main" count="1509" uniqueCount="143">
  <si>
    <t>Date</t>
  </si>
  <si>
    <t>Fiscal Period</t>
  </si>
  <si>
    <t>Customer</t>
  </si>
  <si>
    <t>City</t>
  </si>
  <si>
    <t>Employee</t>
  </si>
  <si>
    <t>Sales</t>
  </si>
  <si>
    <t>Profit</t>
  </si>
  <si>
    <t>Jan</t>
  </si>
  <si>
    <t>2022-2023</t>
  </si>
  <si>
    <t>Hunter Douglas</t>
  </si>
  <si>
    <t>Mumbai</t>
  </si>
  <si>
    <t>Raghu</t>
  </si>
  <si>
    <t>Mar</t>
  </si>
  <si>
    <t>BHEL</t>
  </si>
  <si>
    <t>Haridwar</t>
  </si>
  <si>
    <t>Abhay</t>
  </si>
  <si>
    <t>Tiruchirappalli </t>
  </si>
  <si>
    <t>Nupur</t>
  </si>
  <si>
    <t>Feb</t>
  </si>
  <si>
    <t xml:space="preserve">CAMS </t>
  </si>
  <si>
    <t>Gaziabad</t>
  </si>
  <si>
    <t>Sanjay</t>
  </si>
  <si>
    <t>Apr</t>
  </si>
  <si>
    <t>2023-2024</t>
  </si>
  <si>
    <t>E&amp;Y</t>
  </si>
  <si>
    <t>Gurugram</t>
  </si>
  <si>
    <t>Jul</t>
  </si>
  <si>
    <t>2017-2018</t>
  </si>
  <si>
    <t>SIMENS</t>
  </si>
  <si>
    <t>Sep</t>
  </si>
  <si>
    <t>NTPC</t>
  </si>
  <si>
    <t>2016-2017</t>
  </si>
  <si>
    <t>Vadodara</t>
  </si>
  <si>
    <t>Aug</t>
  </si>
  <si>
    <t>Kolkata</t>
  </si>
  <si>
    <t>2015-2016</t>
  </si>
  <si>
    <t>ALSTOM</t>
  </si>
  <si>
    <t>Noida</t>
  </si>
  <si>
    <t>Kochi</t>
  </si>
  <si>
    <t>Tapan</t>
  </si>
  <si>
    <t>Oct</t>
  </si>
  <si>
    <t>New Delhi</t>
  </si>
  <si>
    <t>lucknow</t>
  </si>
  <si>
    <t>GE</t>
  </si>
  <si>
    <t>Bengaluru</t>
  </si>
  <si>
    <t>Garima</t>
  </si>
  <si>
    <t>Tarun</t>
  </si>
  <si>
    <t xml:space="preserve">DCL GROUP Kolkata </t>
  </si>
  <si>
    <t>Mayank</t>
  </si>
  <si>
    <t>Nov</t>
  </si>
  <si>
    <t>Engineers India Ltd.</t>
  </si>
  <si>
    <t>maruti udyog limited</t>
  </si>
  <si>
    <t>Jyoti</t>
  </si>
  <si>
    <t>May</t>
  </si>
  <si>
    <t>bhopal</t>
  </si>
  <si>
    <t>Dec</t>
  </si>
  <si>
    <t>Ludhiana</t>
  </si>
  <si>
    <t>2014-2015</t>
  </si>
  <si>
    <t>Coimbatore</t>
  </si>
  <si>
    <t>Chennai</t>
  </si>
  <si>
    <t>Boston Consultants</t>
  </si>
  <si>
    <t>Jindle Power Works</t>
  </si>
  <si>
    <t>Jun</t>
  </si>
  <si>
    <t>Pankaj</t>
  </si>
  <si>
    <t>Raipur</t>
  </si>
  <si>
    <t>Nipaniya</t>
  </si>
  <si>
    <t>kanpur</t>
  </si>
  <si>
    <t>Tamnar</t>
  </si>
  <si>
    <t>Guntur</t>
  </si>
  <si>
    <t>2013-2014</t>
  </si>
  <si>
    <t>Faridabad</t>
  </si>
  <si>
    <t>Surat</t>
  </si>
  <si>
    <t>Month</t>
  </si>
  <si>
    <t>Sales Dashboard - Training Demo</t>
  </si>
  <si>
    <t>Total Profit</t>
  </si>
  <si>
    <t>Max Sales</t>
  </si>
  <si>
    <t>Min Sales</t>
  </si>
  <si>
    <t>Average Sales</t>
  </si>
  <si>
    <t>Count</t>
  </si>
  <si>
    <t>F_Year</t>
  </si>
  <si>
    <t>F_Qtr</t>
  </si>
  <si>
    <t xml:space="preserve">F_Qtr </t>
  </si>
  <si>
    <t>F_year</t>
  </si>
  <si>
    <t>D_Query</t>
  </si>
  <si>
    <t>Qtr with Year</t>
  </si>
  <si>
    <t>Fin_Year</t>
  </si>
  <si>
    <t>Qtr1 2017</t>
  </si>
  <si>
    <t>Qtr2 2017</t>
  </si>
  <si>
    <t>Qtr3 2017</t>
  </si>
  <si>
    <t>Qtr4 2017</t>
  </si>
  <si>
    <t>Qtr1 2018</t>
  </si>
  <si>
    <t>Qtr2 2018</t>
  </si>
  <si>
    <t>Qtr3 2018</t>
  </si>
  <si>
    <t>Qtr4 2018</t>
  </si>
  <si>
    <t>Qtr1 2019</t>
  </si>
  <si>
    <t>Qtr2 2019</t>
  </si>
  <si>
    <t>Qtr3 2019</t>
  </si>
  <si>
    <t>Qtr4 2019</t>
  </si>
  <si>
    <t>Qtr1 2020</t>
  </si>
  <si>
    <t>Qtr2 2020</t>
  </si>
  <si>
    <t>Qtr3 2020</t>
  </si>
  <si>
    <t>Qtr4 2020</t>
  </si>
  <si>
    <t>Qtr1 2021</t>
  </si>
  <si>
    <t>Qtr2 2021</t>
  </si>
  <si>
    <t>Qtr3 2021</t>
  </si>
  <si>
    <t>Qtr4 2021</t>
  </si>
  <si>
    <t>Qtr1 2022</t>
  </si>
  <si>
    <t>Qtr2 2022</t>
  </si>
  <si>
    <t>Qtr3 2022</t>
  </si>
  <si>
    <t>Qtr4 2022</t>
  </si>
  <si>
    <t>Qtr1 2023</t>
  </si>
  <si>
    <t>Qtr2 2023</t>
  </si>
  <si>
    <t>Qtr3 2023</t>
  </si>
  <si>
    <t>Qtr4 2023</t>
  </si>
  <si>
    <t>Qtr1 2024</t>
  </si>
  <si>
    <t>Qtr2 2024</t>
  </si>
  <si>
    <t>Qtr3 2024</t>
  </si>
  <si>
    <t>Qtr4 2024</t>
  </si>
  <si>
    <t>Qtr1 2025</t>
  </si>
  <si>
    <t>Qtr2 2025</t>
  </si>
  <si>
    <t>Qtr3 2025</t>
  </si>
  <si>
    <t>Qtr4 2025</t>
  </si>
  <si>
    <t>Qtr1 2026</t>
  </si>
  <si>
    <t>Qtr2 2026</t>
  </si>
  <si>
    <t>Qtr3 2026</t>
  </si>
  <si>
    <t>Qtr4 2026</t>
  </si>
  <si>
    <t>Qtr1 2027</t>
  </si>
  <si>
    <t>Qtr2 2027</t>
  </si>
  <si>
    <t>Qtr3 2027</t>
  </si>
  <si>
    <t>Qtr4 2027</t>
  </si>
  <si>
    <t>Qtr1 2028</t>
  </si>
  <si>
    <t>Qtr2 2028</t>
  </si>
  <si>
    <t>Qtr3 2028</t>
  </si>
  <si>
    <t>Qtr4 2028</t>
  </si>
  <si>
    <t>Qtr1 2029</t>
  </si>
  <si>
    <t>Qtr2 2029</t>
  </si>
  <si>
    <t>Qtr3 2029</t>
  </si>
  <si>
    <t>Qtr4 2029</t>
  </si>
  <si>
    <t>Slicer Based Dashboard</t>
  </si>
  <si>
    <t>1) City wise sales flow</t>
  </si>
  <si>
    <t>2) city wise sales distribution(histogram)</t>
  </si>
  <si>
    <t>To see trends: Use line chart with marker</t>
  </si>
  <si>
    <t>Add slicers for fiscal period, customer,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</si>
</sst>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quot;\ * #,##0.00_ ;_ &quot;₹&quot;\ * \-#,##0.00_ ;_ &quot;₹&quot;\ * &quot;-&quot;??_ ;_ @_ "/>
    <numFmt numFmtId="165" formatCode="[$₹-4009]\ #,##0"/>
  </numFmts>
  <fonts count="10" x14ac:knownFonts="1">
    <font>
      <sz val="12"/>
      <color theme="1"/>
      <name val="Tahoma"/>
      <family val="2"/>
    </font>
    <font>
      <b/>
      <i/>
      <sz val="14"/>
      <name val="Times New Roman"/>
      <family val="1"/>
    </font>
    <font>
      <b/>
      <sz val="11"/>
      <color theme="1"/>
      <name val="Tahoma"/>
      <family val="2"/>
    </font>
    <font>
      <b/>
      <i/>
      <sz val="24"/>
      <color theme="0"/>
      <name val="Times New Roman"/>
      <family val="1"/>
    </font>
    <font>
      <b/>
      <i/>
      <sz val="16"/>
      <color theme="1"/>
      <name val="Tahoma"/>
      <family val="2"/>
    </font>
    <font>
      <sz val="16"/>
      <color theme="1"/>
      <name val="Tahoma"/>
      <family val="2"/>
    </font>
    <font>
      <sz val="16"/>
      <color theme="1"/>
      <name val="Calibri Light"/>
      <family val="2"/>
      <scheme val="major"/>
    </font>
    <font>
      <b/>
      <i/>
      <sz val="16"/>
      <color theme="1"/>
      <name val="Calibri Light"/>
      <family val="2"/>
      <scheme val="major"/>
    </font>
    <font>
      <sz val="12"/>
      <color rgb="FF0A0101"/>
      <name val="Arial"/>
      <family val="2"/>
    </font>
    <font>
      <b/>
      <i/>
      <sz val="16"/>
      <color theme="0"/>
      <name val="Times New Roman"/>
      <family val="1"/>
    </font>
  </fonts>
  <fills count="11">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5"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35">
    <xf numFmtId="0" fontId="0" fillId="0" borderId="0" xfId="0"/>
    <xf numFmtId="0" fontId="0" fillId="2" borderId="0" xfId="0" applyFill="1"/>
    <xf numFmtId="0" fontId="2" fillId="0" borderId="0" xfId="0" applyFont="1"/>
    <xf numFmtId="15" fontId="0" fillId="0" borderId="0" xfId="0" applyNumberFormat="1"/>
    <xf numFmtId="165" fontId="0" fillId="0" borderId="0" xfId="0" applyNumberFormat="1"/>
    <xf numFmtId="0" fontId="0" fillId="4" borderId="0" xfId="0" applyFill="1"/>
    <xf numFmtId="0" fontId="0" fillId="6" borderId="0" xfId="0" applyFill="1"/>
    <xf numFmtId="0" fontId="0" fillId="7" borderId="0" xfId="0" applyFill="1"/>
    <xf numFmtId="0" fontId="0" fillId="8" borderId="0" xfId="0" applyFill="1"/>
    <xf numFmtId="15" fontId="0" fillId="5" borderId="1" xfId="0" applyNumberFormat="1" applyFill="1" applyBorder="1"/>
    <xf numFmtId="0" fontId="0" fillId="5" borderId="1" xfId="0" applyFill="1" applyBorder="1"/>
    <xf numFmtId="15" fontId="0" fillId="5" borderId="1" xfId="0" applyNumberFormat="1" applyFill="1" applyBorder="1" applyAlignment="1">
      <alignment horizontal="center" vertical="center"/>
    </xf>
    <xf numFmtId="165" fontId="0" fillId="5" borderId="1" xfId="0" applyNumberFormat="1" applyFill="1" applyBorder="1"/>
    <xf numFmtId="15" fontId="0" fillId="0" borderId="1" xfId="0" applyNumberFormat="1" applyBorder="1"/>
    <xf numFmtId="0" fontId="0" fillId="0" borderId="1" xfId="0" applyBorder="1"/>
    <xf numFmtId="15" fontId="0" fillId="0" borderId="1" xfId="0" applyNumberFormat="1" applyBorder="1" applyAlignment="1">
      <alignment horizontal="center" vertical="center"/>
    </xf>
    <xf numFmtId="165" fontId="0" fillId="0" borderId="1" xfId="0" applyNumberFormat="1" applyBorder="1"/>
    <xf numFmtId="15" fontId="0" fillId="5" borderId="2" xfId="0" applyNumberFormat="1" applyFill="1" applyBorder="1"/>
    <xf numFmtId="15" fontId="0" fillId="0" borderId="2" xfId="0" applyNumberFormat="1" applyBorder="1"/>
    <xf numFmtId="0" fontId="1" fillId="3" borderId="0" xfId="0" applyFont="1" applyFill="1"/>
    <xf numFmtId="0" fontId="1" fillId="3" borderId="3" xfId="0" applyFont="1" applyFill="1" applyBorder="1"/>
    <xf numFmtId="0" fontId="4" fillId="9" borderId="4" xfId="0" applyFont="1" applyFill="1" applyBorder="1"/>
    <xf numFmtId="164" fontId="5" fillId="9" borderId="4" xfId="0" applyNumberFormat="1" applyFont="1" applyFill="1" applyBorder="1"/>
    <xf numFmtId="0" fontId="5" fillId="9" borderId="4" xfId="0" applyFont="1" applyFill="1" applyBorder="1"/>
    <xf numFmtId="0" fontId="7" fillId="3" borderId="4" xfId="1" applyFont="1" applyFill="1" applyBorder="1"/>
    <xf numFmtId="0" fontId="6" fillId="0" borderId="0" xfId="1"/>
    <xf numFmtId="14" fontId="6" fillId="0" borderId="4" xfId="1" applyNumberFormat="1" applyBorder="1"/>
    <xf numFmtId="0" fontId="8" fillId="0" borderId="4" xfId="1" applyFont="1" applyBorder="1"/>
    <xf numFmtId="0" fontId="8" fillId="0" borderId="4" xfId="1" applyFont="1" applyBorder="1" applyAlignment="1">
      <alignment horizontal="center" vertical="center"/>
    </xf>
    <xf numFmtId="0" fontId="6" fillId="0" borderId="4" xfId="1" applyBorder="1"/>
    <xf numFmtId="0" fontId="0" fillId="10" borderId="0" xfId="0" applyFill="1"/>
    <xf numFmtId="15" fontId="0" fillId="10" borderId="0" xfId="0" applyNumberFormat="1" applyFill="1"/>
    <xf numFmtId="15" fontId="0" fillId="4" borderId="0" xfId="0" applyNumberFormat="1" applyFill="1"/>
    <xf numFmtId="0" fontId="9" fillId="2" borderId="0" xfId="0" applyFont="1" applyFill="1" applyAlignment="1">
      <alignment horizontal="center" vertical="center"/>
    </xf>
    <xf numFmtId="0" fontId="3" fillId="8" borderId="0" xfId="0" applyFont="1" applyFill="1" applyAlignment="1">
      <alignment horizontal="center" vertical="center"/>
    </xf>
  </cellXfs>
  <cellStyles count="2">
    <cellStyle name="Normal" xfId="0" builtinId="0"/>
    <cellStyle name="Normal 2" xfId="1" xr:uid="{035E501D-4B79-4DCD-AE40-298056271753}"/>
  </cellStyles>
  <dxfs count="11">
    <dxf>
      <fill>
        <patternFill patternType="solid">
          <fgColor theme="4" tint="0.79998168889431442"/>
          <bgColor theme="4" tint="0.79998168889431442"/>
        </patternFill>
      </fill>
      <border diagonalUp="0" diagonalDown="0">
        <left style="thin">
          <color indexed="64"/>
        </left>
        <right/>
        <top style="thin">
          <color indexed="64"/>
        </top>
        <bottom/>
        <vertical/>
        <horizontal/>
      </border>
    </dxf>
    <dxf>
      <numFmt numFmtId="165" formatCode="[$₹-4009]\ #,##0"/>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ill>
        <patternFill patternType="solid">
          <fgColor theme="4" tint="0.79998168889431442"/>
          <bgColor theme="4" tint="0.79998168889431442"/>
        </patternFill>
      </fill>
      <border diagonalUp="0" diagonalDown="0">
        <left style="thin">
          <color indexed="64"/>
        </left>
        <right/>
        <top style="thin">
          <color indexed="64"/>
        </top>
        <bottom/>
        <vertical/>
        <horizontal/>
      </border>
    </dxf>
    <dxf>
      <numFmt numFmtId="166" formatCode="dd/mmm/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numFmt numFmtId="166" formatCode="dd/mmm/yy"/>
      <fill>
        <patternFill patternType="solid">
          <fgColor theme="4" tint="0.79998168889431442"/>
          <bgColor theme="4" tint="0.79998168889431442"/>
        </patternFill>
      </fill>
      <border diagonalUp="0" diagonalDown="0">
        <left style="thin">
          <color indexed="64"/>
        </left>
        <right/>
        <top style="thin">
          <color indexed="64"/>
        </top>
        <bottom/>
        <vertical/>
        <horizontal/>
      </border>
    </dxf>
    <dxf>
      <numFmt numFmtId="166" formatCode="dd/mmm/yy"/>
      <fill>
        <patternFill patternType="solid">
          <fgColor theme="4" tint="0.79998168889431442"/>
          <bgColor theme="4" tint="0.79998168889431442"/>
        </patternFill>
      </fill>
      <border diagonalUp="0" diagonalDown="0">
        <left/>
        <right/>
        <top style="thin">
          <color indexed="64"/>
        </top>
        <bottom/>
        <vertical/>
        <horizontal/>
      </border>
    </dxf>
    <dxf>
      <border outline="0">
        <left style="thin">
          <color indexed="64"/>
        </left>
        <right style="thin">
          <color indexed="64"/>
        </right>
        <top style="thin">
          <color indexed="64"/>
        </top>
      </border>
    </dxf>
    <dxf>
      <fill>
        <patternFill patternType="solid">
          <fgColor theme="4" tint="0.79998168889431442"/>
          <bgColor theme="4" tint="0.79998168889431442"/>
        </patternFill>
      </fill>
    </dxf>
    <dxf>
      <font>
        <b/>
        <i/>
        <strike val="0"/>
        <condense val="0"/>
        <extend val="0"/>
        <outline val="0"/>
        <shadow val="0"/>
        <u val="none"/>
        <vertAlign val="baseline"/>
        <sz val="14"/>
        <color auto="1"/>
        <name val="Times New Roman"/>
        <family val="1"/>
        <scheme val="none"/>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citywise sales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Data!$J$3</c:f>
              <c:strCache>
                <c:ptCount val="1"/>
                <c:pt idx="0">
                  <c:v>Sales</c:v>
                </c:pt>
              </c:strCache>
            </c:strRef>
          </c:tx>
          <c:spPr>
            <a:ln w="31750" cap="rnd">
              <a:solidFill>
                <a:schemeClr val="accent1"/>
              </a:solidFill>
              <a:round/>
            </a:ln>
            <a:effectLst/>
          </c:spPr>
          <c:marker>
            <c:symbol val="circle"/>
            <c:size val="17"/>
            <c:spPr>
              <a:solidFill>
                <a:schemeClr val="accent1"/>
              </a:solidFill>
              <a:ln>
                <a:noFill/>
              </a:ln>
              <a:effectLst/>
            </c:spPr>
          </c:marker>
          <c:cat>
            <c:strRef>
              <c:f>Data!$H$4:$H$268</c:f>
              <c:strCache>
                <c:ptCount val="23"/>
                <c:pt idx="0">
                  <c:v>Tamnar</c:v>
                </c:pt>
                <c:pt idx="1">
                  <c:v>Noida</c:v>
                </c:pt>
                <c:pt idx="2">
                  <c:v>Faridabad</c:v>
                </c:pt>
                <c:pt idx="3">
                  <c:v>Kochi</c:v>
                </c:pt>
                <c:pt idx="4">
                  <c:v>Kolkata</c:v>
                </c:pt>
                <c:pt idx="5">
                  <c:v>Tamnar</c:v>
                </c:pt>
                <c:pt idx="6">
                  <c:v>Gurugram</c:v>
                </c:pt>
                <c:pt idx="7">
                  <c:v>New Delhi</c:v>
                </c:pt>
                <c:pt idx="8">
                  <c:v>New Delhi</c:v>
                </c:pt>
                <c:pt idx="9">
                  <c:v>Noida</c:v>
                </c:pt>
                <c:pt idx="10">
                  <c:v>New Delhi</c:v>
                </c:pt>
                <c:pt idx="11">
                  <c:v>Bengaluru</c:v>
                </c:pt>
                <c:pt idx="12">
                  <c:v>Bengaluru</c:v>
                </c:pt>
                <c:pt idx="13">
                  <c:v>Surat</c:v>
                </c:pt>
                <c:pt idx="14">
                  <c:v>Faridabad</c:v>
                </c:pt>
                <c:pt idx="15">
                  <c:v>Tamnar</c:v>
                </c:pt>
                <c:pt idx="16">
                  <c:v>New Delhi</c:v>
                </c:pt>
                <c:pt idx="17">
                  <c:v>bhopal</c:v>
                </c:pt>
                <c:pt idx="18">
                  <c:v>Bengaluru</c:v>
                </c:pt>
                <c:pt idx="19">
                  <c:v>Gurugram</c:v>
                </c:pt>
                <c:pt idx="20">
                  <c:v>Gaziabad</c:v>
                </c:pt>
                <c:pt idx="21">
                  <c:v>Gurugram</c:v>
                </c:pt>
                <c:pt idx="22">
                  <c:v>Chennai</c:v>
                </c:pt>
              </c:strCache>
            </c:strRef>
          </c:cat>
          <c:val>
            <c:numRef>
              <c:f>Data!$J$4:$J$268</c:f>
              <c:numCache>
                <c:formatCode>[$₹-4009]\ #,##0</c:formatCode>
                <c:ptCount val="23"/>
                <c:pt idx="0">
                  <c:v>11800</c:v>
                </c:pt>
                <c:pt idx="1">
                  <c:v>14950</c:v>
                </c:pt>
                <c:pt idx="2">
                  <c:v>10550</c:v>
                </c:pt>
                <c:pt idx="3">
                  <c:v>10600</c:v>
                </c:pt>
                <c:pt idx="4">
                  <c:v>10550</c:v>
                </c:pt>
                <c:pt idx="5">
                  <c:v>11650</c:v>
                </c:pt>
                <c:pt idx="6">
                  <c:v>13550</c:v>
                </c:pt>
                <c:pt idx="7">
                  <c:v>11450</c:v>
                </c:pt>
                <c:pt idx="8">
                  <c:v>12050</c:v>
                </c:pt>
                <c:pt idx="9">
                  <c:v>11000</c:v>
                </c:pt>
                <c:pt idx="10">
                  <c:v>13800</c:v>
                </c:pt>
                <c:pt idx="11">
                  <c:v>11050</c:v>
                </c:pt>
                <c:pt idx="12">
                  <c:v>14800</c:v>
                </c:pt>
                <c:pt idx="13">
                  <c:v>13850</c:v>
                </c:pt>
                <c:pt idx="14">
                  <c:v>14600</c:v>
                </c:pt>
                <c:pt idx="15">
                  <c:v>13600</c:v>
                </c:pt>
                <c:pt idx="16">
                  <c:v>10850</c:v>
                </c:pt>
                <c:pt idx="17">
                  <c:v>10050</c:v>
                </c:pt>
                <c:pt idx="18">
                  <c:v>14750</c:v>
                </c:pt>
                <c:pt idx="19">
                  <c:v>12900</c:v>
                </c:pt>
                <c:pt idx="20">
                  <c:v>10000</c:v>
                </c:pt>
                <c:pt idx="21">
                  <c:v>14900</c:v>
                </c:pt>
                <c:pt idx="22">
                  <c:v>10100</c:v>
                </c:pt>
              </c:numCache>
            </c:numRef>
          </c:val>
          <c:smooth val="0"/>
          <c:extLst>
            <c:ext xmlns:c16="http://schemas.microsoft.com/office/drawing/2014/chart" uri="{C3380CC4-5D6E-409C-BE32-E72D297353CC}">
              <c16:uniqueId val="{00000000-113E-9B4B-9264-BB7625EAEAAB}"/>
            </c:ext>
          </c:extLst>
        </c:ser>
        <c:dLbls>
          <c:dLblPos val="ctr"/>
          <c:showLegendKey val="0"/>
          <c:showVal val="0"/>
          <c:showCatName val="0"/>
          <c:showSerName val="0"/>
          <c:showPercent val="0"/>
          <c:showBubbleSize val="0"/>
        </c:dLbls>
        <c:marker val="1"/>
        <c:smooth val="0"/>
        <c:axId val="10469312"/>
        <c:axId val="79817472"/>
      </c:lineChart>
      <c:catAx>
        <c:axId val="10469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817472"/>
        <c:crosses val="autoZero"/>
        <c:auto val="1"/>
        <c:lblAlgn val="ctr"/>
        <c:lblOffset val="100"/>
        <c:noMultiLvlLbl val="0"/>
      </c:catAx>
      <c:valAx>
        <c:axId val="798174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09]\ #,##0" sourceLinked="1"/>
        <c:majorTickMark val="none"/>
        <c:minorTickMark val="none"/>
        <c:tickLblPos val="nextTo"/>
        <c:crossAx val="1046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citywise sales distribution</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75000"/>
                  <a:lumOff val="25000"/>
                </a:sysClr>
              </a:solidFill>
              <a:latin typeface="Calibri" panose="020F0502020204030204"/>
            </a:rPr>
            <a:t>citywise sales distribution</a:t>
          </a:r>
        </a:p>
      </cx:txPr>
    </cx:title>
    <cx:plotArea>
      <cx:plotAreaRegion>
        <cx:series layoutId="clusteredColumn" uniqueId="{A93CD75F-43EA-4748-9409-78F097003B22}">
          <cx:tx>
            <cx:txData>
              <cx:f>_xlchart.v1.10</cx:f>
              <cx:v>Sales</cx:v>
            </cx:txData>
          </cx:tx>
          <cx:dataLabels pos="inEnd">
            <cx:visibility seriesName="0" categoryName="0" value="1"/>
          </cx:dataLabels>
          <cx:dataId val="0"/>
          <cx:layoutPr>
            <cx:aggregation/>
          </cx:layoutPr>
          <cx:axisId val="1"/>
        </cx:series>
        <cx:series layoutId="paretoLine" ownerIdx="0" uniqueId="{4F083203-1E6A-1245-A070-9C381CF50BF8}">
          <cx:axisId val="2"/>
        </cx:series>
      </cx:plotAreaRegion>
      <cx:axis id="0">
        <cx:catScaling gapWidth="0"/>
        <cx:tickLabels/>
      </cx:axis>
      <cx:axis id="1" hidden="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12</xdr:col>
      <xdr:colOff>174624</xdr:colOff>
      <xdr:row>29</xdr:row>
      <xdr:rowOff>127000</xdr:rowOff>
    </xdr:to>
    <xdr:graphicFrame macro="">
      <xdr:nvGraphicFramePr>
        <xdr:cNvPr id="4" name="Chart 3">
          <a:extLst>
            <a:ext uri="{FF2B5EF4-FFF2-40B4-BE49-F238E27FC236}">
              <a16:creationId xmlns:a16="http://schemas.microsoft.com/office/drawing/2014/main" id="{32F08CF8-5F53-6448-ADC0-F38F0921F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635000</xdr:colOff>
      <xdr:row>10</xdr:row>
      <xdr:rowOff>79374</xdr:rowOff>
    </xdr:from>
    <xdr:to>
      <xdr:col>20</xdr:col>
      <xdr:colOff>269875</xdr:colOff>
      <xdr:row>28</xdr:row>
      <xdr:rowOff>190499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0C766CD-C867-EB4B-A2BA-BAB9553BB5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144625" y="2778124"/>
              <a:ext cx="5556250" cy="39211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635001</xdr:colOff>
      <xdr:row>1</xdr:row>
      <xdr:rowOff>1</xdr:rowOff>
    </xdr:from>
    <xdr:to>
      <xdr:col>4</xdr:col>
      <xdr:colOff>333375</xdr:colOff>
      <xdr:row>7</xdr:row>
      <xdr:rowOff>79376</xdr:rowOff>
    </xdr:to>
    <mc:AlternateContent xmlns:mc="http://schemas.openxmlformats.org/markup-compatibility/2006">
      <mc:Choice xmlns:sle15="http://schemas.microsoft.com/office/drawing/2012/slicer" Requires="sle15">
        <xdr:graphicFrame macro="">
          <xdr:nvGraphicFramePr>
            <xdr:cNvPr id="6" name="Fiscal Period">
              <a:extLst>
                <a:ext uri="{FF2B5EF4-FFF2-40B4-BE49-F238E27FC236}">
                  <a16:creationId xmlns:a16="http://schemas.microsoft.com/office/drawing/2014/main" id="{0BE10DE7-ED95-864C-8287-DBA86FB7A695}"/>
                </a:ext>
              </a:extLst>
            </xdr:cNvPr>
            <xdr:cNvGraphicFramePr/>
          </xdr:nvGraphicFramePr>
          <xdr:xfrm>
            <a:off x="0" y="0"/>
            <a:ext cx="0" cy="0"/>
          </xdr:xfrm>
          <a:graphic>
            <a:graphicData uri="http://schemas.microsoft.com/office/drawing/2010/slicer">
              <sle:slicer xmlns:sle="http://schemas.microsoft.com/office/drawing/2010/slicer" name="Fiscal Period"/>
            </a:graphicData>
          </a:graphic>
        </xdr:graphicFrame>
      </mc:Choice>
      <mc:Fallback>
        <xdr:sp macro="" textlink="">
          <xdr:nvSpPr>
            <xdr:cNvPr id="0" name=""/>
            <xdr:cNvSpPr>
              <a:spLocks noTextEdit="1"/>
            </xdr:cNvSpPr>
          </xdr:nvSpPr>
          <xdr:spPr>
            <a:xfrm>
              <a:off x="635001" y="492126"/>
              <a:ext cx="4651374" cy="18097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238124</xdr:colOff>
      <xdr:row>0</xdr:row>
      <xdr:rowOff>476251</xdr:rowOff>
    </xdr:from>
    <xdr:to>
      <xdr:col>10</xdr:col>
      <xdr:colOff>365124</xdr:colOff>
      <xdr:row>8</xdr:row>
      <xdr:rowOff>1</xdr:rowOff>
    </xdr:to>
    <mc:AlternateContent xmlns:mc="http://schemas.openxmlformats.org/markup-compatibility/2006">
      <mc:Choice xmlns:sle15="http://schemas.microsoft.com/office/drawing/2012/slicer" Requires="sle15">
        <xdr:graphicFrame macro="">
          <xdr:nvGraphicFramePr>
            <xdr:cNvPr id="7" name="Customer">
              <a:extLst>
                <a:ext uri="{FF2B5EF4-FFF2-40B4-BE49-F238E27FC236}">
                  <a16:creationId xmlns:a16="http://schemas.microsoft.com/office/drawing/2014/main" id="{C9955683-D1A3-F94E-9109-FBF148AAC94D}"/>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5968999" y="476251"/>
              <a:ext cx="4016375" cy="1841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460375</xdr:colOff>
      <xdr:row>0</xdr:row>
      <xdr:rowOff>460376</xdr:rowOff>
    </xdr:from>
    <xdr:to>
      <xdr:col>16</xdr:col>
      <xdr:colOff>254000</xdr:colOff>
      <xdr:row>6</xdr:row>
      <xdr:rowOff>301626</xdr:rowOff>
    </xdr:to>
    <mc:AlternateContent xmlns:mc="http://schemas.openxmlformats.org/markup-compatibility/2006">
      <mc:Choice xmlns:sle15="http://schemas.microsoft.com/office/drawing/2012/slicer" Requires="sle15">
        <xdr:graphicFrame macro="">
          <xdr:nvGraphicFramePr>
            <xdr:cNvPr id="8" name="City">
              <a:extLst>
                <a:ext uri="{FF2B5EF4-FFF2-40B4-BE49-F238E27FC236}">
                  <a16:creationId xmlns:a16="http://schemas.microsoft.com/office/drawing/2014/main" id="{DF01EC26-1245-7E43-9A33-6A9963328C4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858500" y="460376"/>
              <a:ext cx="3683000" cy="17462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Period" xr10:uid="{55C36384-1BC9-5B41-A592-1165274880A4}" sourceName="Fiscal Period">
  <extLst>
    <x:ext xmlns:x15="http://schemas.microsoft.com/office/spreadsheetml/2010/11/main" uri="{2F2917AC-EB37-4324-AD4E-5DD8C200BD13}">
      <x15:tableSlicerCache tableId="1"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DCA063CD-0731-FB49-8A36-C26C268662AD}" sourceName="Customer">
  <extLst>
    <x:ext xmlns:x15="http://schemas.microsoft.com/office/spreadsheetml/2010/11/main" uri="{2F2917AC-EB37-4324-AD4E-5DD8C200BD13}">
      <x15:tableSlicerCache tableId="1" column="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88D2C58-FDAE-F549-9767-154718294EE1}" sourceName="Cit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 Period" xr10:uid="{09D6FDE6-8C89-F74C-AAE0-64FB7814AB92}" cache="Slicer_Fiscal_Period" caption="Fiscal Period" columnCount="3" style="SlicerStyleDark1" rowHeight="273050"/>
  <slicer name="Customer" xr10:uid="{9A27E793-CE0C-D849-B1ED-9C307C8C6614}" cache="Slicer_Customer" caption="Customer" columnCount="3" style="SlicerStyleDark1" rowHeight="273050"/>
  <slicer name="City" xr10:uid="{14510818-9664-F047-BDE6-437866E6E4E9}" cache="Slicer_City" caption="City" columnCount="4" style="SlicerStyleDark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56B59C-6F4E-4527-99FE-C7B2B2A41952}" name="Sales_data" displayName="Sales_data" ref="D3:K268" totalsRowShown="0" headerRowDxfId="10" dataDxfId="9" tableBorderDxfId="8">
  <autoFilter ref="D3:K268" xr:uid="{4656B59C-6F4E-4527-99FE-C7B2B2A41952}">
    <filterColumn colId="2">
      <filters>
        <filter val="2013-2014"/>
      </filters>
    </filterColumn>
  </autoFilter>
  <tableColumns count="8">
    <tableColumn id="1" xr3:uid="{77F0459D-0E94-4ABE-90C4-E9949069E851}" name="Date" dataDxfId="7"/>
    <tableColumn id="2" xr3:uid="{ADB5B060-9230-4C28-AABB-ED578F838E50}" name="Month" dataDxfId="6"/>
    <tableColumn id="6" xr3:uid="{349808C7-BFBF-4B67-B1DA-91509BE83CB5}" name="Fiscal Period" dataDxfId="5"/>
    <tableColumn id="7" xr3:uid="{29F2D8CF-37D6-422D-A343-E303BD406720}" name="Customer" dataDxfId="4"/>
    <tableColumn id="8" xr3:uid="{0B9A08A8-3765-404B-AE5A-F2E5B0883238}" name="City" dataDxfId="3"/>
    <tableColumn id="9" xr3:uid="{332E8204-BBF9-45C3-9728-36C4130F1AF2}" name="Employee" dataDxfId="2"/>
    <tableColumn id="10" xr3:uid="{F02780B6-2BF8-4E1B-8346-79F864401A9C}" name="Sales" dataDxfId="1"/>
    <tableColumn id="11" xr3:uid="{A815A72D-7A9D-4D85-885B-BB816297A556}" name="Profi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F68E-6886-4F26-B67B-A52E57499CBD}">
  <sheetPr>
    <tabColor rgb="FF7030A0"/>
  </sheetPr>
  <dimension ref="A1:M276"/>
  <sheetViews>
    <sheetView zoomScaleNormal="100" workbookViewId="0">
      <selection activeCell="H4" sqref="H4:H268"/>
    </sheetView>
  </sheetViews>
  <sheetFormatPr baseColWidth="10" defaultColWidth="8.7109375" defaultRowHeight="15" x14ac:dyDescent="0.15"/>
  <cols>
    <col min="1" max="1" width="13.140625" customWidth="1"/>
    <col min="2" max="2" width="26.5703125" customWidth="1"/>
    <col min="3" max="3" width="1.85546875" customWidth="1"/>
    <col min="4" max="4" width="10.42578125" customWidth="1"/>
    <col min="5" max="5" width="15.7109375" customWidth="1"/>
    <col min="6" max="6" width="12.42578125" customWidth="1"/>
    <col min="7" max="7" width="15.140625" customWidth="1"/>
    <col min="8" max="8" width="17.85546875" customWidth="1"/>
    <col min="9" max="9" width="13.5703125" customWidth="1"/>
    <col min="10" max="10" width="12.140625" customWidth="1"/>
    <col min="11" max="11" width="11.5703125" customWidth="1"/>
    <col min="14" max="14" width="12.140625" bestFit="1" customWidth="1"/>
    <col min="15" max="15" width="10.85546875" bestFit="1" customWidth="1"/>
    <col min="20" max="20" width="11" customWidth="1"/>
  </cols>
  <sheetData>
    <row r="1" spans="1:13" ht="22.75" customHeight="1" x14ac:dyDescent="0.15">
      <c r="A1" s="1"/>
      <c r="B1" s="1"/>
      <c r="C1" s="1"/>
      <c r="D1" s="33" t="s">
        <v>138</v>
      </c>
      <c r="E1" s="33"/>
      <c r="F1" s="33"/>
      <c r="G1" s="33"/>
      <c r="H1" s="33"/>
      <c r="I1" s="1"/>
      <c r="J1" s="1"/>
      <c r="K1" s="1"/>
    </row>
    <row r="2" spans="1:13" s="7" customFormat="1" ht="11.5" customHeight="1" x14ac:dyDescent="0.15">
      <c r="A2" s="5"/>
      <c r="B2" s="5"/>
      <c r="C2" s="5"/>
      <c r="D2" s="5"/>
      <c r="E2" s="5"/>
      <c r="F2" s="5"/>
      <c r="G2" s="5"/>
      <c r="H2" s="5"/>
      <c r="I2" s="5"/>
      <c r="J2" s="5"/>
      <c r="K2" s="5"/>
    </row>
    <row r="3" spans="1:13" ht="18" x14ac:dyDescent="0.2">
      <c r="A3" s="30"/>
      <c r="B3" s="30"/>
      <c r="C3" s="5"/>
      <c r="D3" s="19" t="s">
        <v>0</v>
      </c>
      <c r="E3" s="20" t="s">
        <v>72</v>
      </c>
      <c r="F3" s="20" t="s">
        <v>1</v>
      </c>
      <c r="G3" s="20" t="s">
        <v>2</v>
      </c>
      <c r="H3" s="20" t="s">
        <v>3</v>
      </c>
      <c r="I3" s="20" t="s">
        <v>4</v>
      </c>
      <c r="J3" s="20" t="s">
        <v>5</v>
      </c>
      <c r="K3" s="20" t="s">
        <v>6</v>
      </c>
      <c r="L3" s="2"/>
      <c r="M3" t="s">
        <v>139</v>
      </c>
    </row>
    <row r="4" spans="1:13" hidden="1" x14ac:dyDescent="0.15">
      <c r="A4" s="30"/>
      <c r="B4" s="30"/>
      <c r="C4" s="5"/>
      <c r="D4" s="17">
        <v>44944</v>
      </c>
      <c r="E4" s="9" t="s">
        <v>7</v>
      </c>
      <c r="F4" s="11" t="s">
        <v>8</v>
      </c>
      <c r="G4" s="10" t="s">
        <v>9</v>
      </c>
      <c r="H4" s="10" t="s">
        <v>10</v>
      </c>
      <c r="I4" s="10" t="s">
        <v>11</v>
      </c>
      <c r="J4" s="12">
        <v>7164</v>
      </c>
      <c r="K4" s="10">
        <v>2200</v>
      </c>
      <c r="M4" t="s">
        <v>141</v>
      </c>
    </row>
    <row r="5" spans="1:13" hidden="1" x14ac:dyDescent="0.15">
      <c r="A5" s="30"/>
      <c r="B5" s="30"/>
      <c r="C5" s="5"/>
      <c r="D5" s="18">
        <v>45003</v>
      </c>
      <c r="E5" s="13" t="s">
        <v>12</v>
      </c>
      <c r="F5" s="15" t="s">
        <v>8</v>
      </c>
      <c r="G5" s="14" t="s">
        <v>13</v>
      </c>
      <c r="H5" s="14" t="s">
        <v>14</v>
      </c>
      <c r="I5" s="14" t="s">
        <v>15</v>
      </c>
      <c r="J5" s="16">
        <v>6528</v>
      </c>
      <c r="K5" s="14">
        <v>3640</v>
      </c>
    </row>
    <row r="6" spans="1:13" hidden="1" x14ac:dyDescent="0.15">
      <c r="A6" s="30"/>
      <c r="B6" s="30"/>
      <c r="C6" s="5"/>
      <c r="D6" s="17">
        <v>45004</v>
      </c>
      <c r="E6" s="9" t="s">
        <v>12</v>
      </c>
      <c r="F6" s="11" t="s">
        <v>8</v>
      </c>
      <c r="G6" s="10" t="s">
        <v>13</v>
      </c>
      <c r="H6" s="10" t="s">
        <v>16</v>
      </c>
      <c r="I6" s="10" t="s">
        <v>17</v>
      </c>
      <c r="J6" s="12">
        <v>2520</v>
      </c>
      <c r="K6" s="10">
        <v>3200</v>
      </c>
      <c r="M6" t="s">
        <v>140</v>
      </c>
    </row>
    <row r="7" spans="1:13" hidden="1" x14ac:dyDescent="0.15">
      <c r="A7" s="30"/>
      <c r="B7" s="30"/>
      <c r="C7" s="5"/>
      <c r="D7" s="18">
        <v>44974</v>
      </c>
      <c r="E7" s="13" t="s">
        <v>18</v>
      </c>
      <c r="F7" s="15" t="s">
        <v>8</v>
      </c>
      <c r="G7" s="14" t="s">
        <v>19</v>
      </c>
      <c r="H7" s="14" t="s">
        <v>20</v>
      </c>
      <c r="I7" s="14" t="s">
        <v>21</v>
      </c>
      <c r="J7" s="16">
        <v>9660</v>
      </c>
      <c r="K7" s="14">
        <v>5280</v>
      </c>
    </row>
    <row r="8" spans="1:13" hidden="1" x14ac:dyDescent="0.15">
      <c r="A8" s="30"/>
      <c r="B8" s="30"/>
      <c r="C8" s="5"/>
      <c r="D8" s="17">
        <v>45033</v>
      </c>
      <c r="E8" s="9" t="s">
        <v>22</v>
      </c>
      <c r="F8" s="11" t="s">
        <v>23</v>
      </c>
      <c r="G8" s="10" t="s">
        <v>24</v>
      </c>
      <c r="H8" s="10" t="s">
        <v>25</v>
      </c>
      <c r="I8" s="10" t="s">
        <v>11</v>
      </c>
      <c r="J8" s="12">
        <v>11550</v>
      </c>
      <c r="K8" s="10">
        <v>2180</v>
      </c>
    </row>
    <row r="9" spans="1:13" hidden="1" x14ac:dyDescent="0.15">
      <c r="A9" s="30"/>
      <c r="B9" s="30"/>
      <c r="C9" s="5"/>
      <c r="D9" s="18">
        <v>42946</v>
      </c>
      <c r="E9" s="13" t="s">
        <v>26</v>
      </c>
      <c r="F9" s="15" t="s">
        <v>27</v>
      </c>
      <c r="G9" s="14" t="s">
        <v>28</v>
      </c>
      <c r="H9" s="14" t="s">
        <v>10</v>
      </c>
      <c r="I9" s="14" t="s">
        <v>11</v>
      </c>
      <c r="J9" s="16">
        <v>7896</v>
      </c>
      <c r="K9" s="14">
        <v>2520</v>
      </c>
      <c r="M9" t="s">
        <v>142</v>
      </c>
    </row>
    <row r="10" spans="1:13" hidden="1" x14ac:dyDescent="0.15">
      <c r="A10" s="30"/>
      <c r="B10" s="30"/>
      <c r="C10" s="5"/>
      <c r="D10" s="17">
        <v>42980</v>
      </c>
      <c r="E10" s="9" t="s">
        <v>29</v>
      </c>
      <c r="F10" s="11" t="s">
        <v>27</v>
      </c>
      <c r="G10" s="10" t="s">
        <v>30</v>
      </c>
      <c r="H10" s="10" t="s">
        <v>10</v>
      </c>
      <c r="I10" s="10" t="s">
        <v>21</v>
      </c>
      <c r="J10" s="12">
        <v>8095.5</v>
      </c>
      <c r="K10" s="10">
        <v>2860</v>
      </c>
    </row>
    <row r="11" spans="1:13" hidden="1" x14ac:dyDescent="0.15">
      <c r="A11" s="30"/>
      <c r="B11" s="30"/>
      <c r="C11" s="5"/>
      <c r="D11" s="18">
        <v>42796</v>
      </c>
      <c r="E11" s="13" t="s">
        <v>12</v>
      </c>
      <c r="F11" s="15" t="s">
        <v>31</v>
      </c>
      <c r="G11" s="14" t="s">
        <v>30</v>
      </c>
      <c r="H11" s="14" t="s">
        <v>32</v>
      </c>
      <c r="I11" s="14" t="s">
        <v>17</v>
      </c>
      <c r="J11" s="16">
        <v>12180</v>
      </c>
      <c r="K11" s="14">
        <v>4540</v>
      </c>
    </row>
    <row r="12" spans="1:13" hidden="1" x14ac:dyDescent="0.15">
      <c r="A12" s="30"/>
      <c r="B12" s="30"/>
      <c r="C12" s="5"/>
      <c r="D12" s="17">
        <v>42952</v>
      </c>
      <c r="E12" s="9" t="s">
        <v>33</v>
      </c>
      <c r="F12" s="11" t="s">
        <v>27</v>
      </c>
      <c r="G12" s="10" t="s">
        <v>9</v>
      </c>
      <c r="H12" s="10" t="s">
        <v>34</v>
      </c>
      <c r="I12" s="10" t="s">
        <v>17</v>
      </c>
      <c r="J12" s="12">
        <v>4900</v>
      </c>
      <c r="K12" s="10">
        <v>2220</v>
      </c>
    </row>
    <row r="13" spans="1:13" hidden="1" x14ac:dyDescent="0.15">
      <c r="A13" s="30"/>
      <c r="B13" s="30"/>
      <c r="C13" s="5"/>
      <c r="D13" s="18">
        <v>42390</v>
      </c>
      <c r="E13" s="13" t="s">
        <v>7</v>
      </c>
      <c r="F13" s="15" t="s">
        <v>35</v>
      </c>
      <c r="G13" s="14" t="s">
        <v>36</v>
      </c>
      <c r="H13" s="14" t="s">
        <v>37</v>
      </c>
      <c r="I13" s="14" t="s">
        <v>21</v>
      </c>
      <c r="J13" s="16">
        <v>2277</v>
      </c>
      <c r="K13" s="14">
        <v>5220</v>
      </c>
    </row>
    <row r="14" spans="1:13" hidden="1" x14ac:dyDescent="0.15">
      <c r="A14" s="30"/>
      <c r="B14" s="30"/>
      <c r="C14" s="5"/>
      <c r="D14" s="17">
        <v>42561</v>
      </c>
      <c r="E14" s="9" t="s">
        <v>26</v>
      </c>
      <c r="F14" s="11" t="s">
        <v>31</v>
      </c>
      <c r="G14" s="10" t="s">
        <v>24</v>
      </c>
      <c r="H14" s="10" t="s">
        <v>38</v>
      </c>
      <c r="I14" s="10" t="s">
        <v>39</v>
      </c>
      <c r="J14" s="12">
        <v>8032</v>
      </c>
      <c r="K14" s="10">
        <v>3980</v>
      </c>
    </row>
    <row r="15" spans="1:13" hidden="1" x14ac:dyDescent="0.15">
      <c r="A15" s="30"/>
      <c r="B15" s="30"/>
      <c r="C15" s="5"/>
      <c r="D15" s="18">
        <v>42669</v>
      </c>
      <c r="E15" s="13" t="s">
        <v>40</v>
      </c>
      <c r="F15" s="15" t="s">
        <v>31</v>
      </c>
      <c r="G15" s="14" t="s">
        <v>36</v>
      </c>
      <c r="H15" s="14" t="s">
        <v>41</v>
      </c>
      <c r="I15" s="14" t="s">
        <v>15</v>
      </c>
      <c r="J15" s="16">
        <v>8046</v>
      </c>
      <c r="K15" s="14">
        <v>4280</v>
      </c>
    </row>
    <row r="16" spans="1:13" hidden="1" x14ac:dyDescent="0.15">
      <c r="A16" s="30"/>
      <c r="B16" s="30"/>
      <c r="C16" s="5"/>
      <c r="D16" s="17">
        <v>42586</v>
      </c>
      <c r="E16" s="9" t="s">
        <v>33</v>
      </c>
      <c r="F16" s="11" t="s">
        <v>31</v>
      </c>
      <c r="G16" s="10" t="s">
        <v>13</v>
      </c>
      <c r="H16" s="10" t="s">
        <v>42</v>
      </c>
      <c r="I16" s="10" t="s">
        <v>17</v>
      </c>
      <c r="J16" s="12">
        <v>11250</v>
      </c>
      <c r="K16" s="10">
        <v>2760</v>
      </c>
    </row>
    <row r="17" spans="1:11" hidden="1" x14ac:dyDescent="0.15">
      <c r="A17" s="30"/>
      <c r="B17" s="30"/>
      <c r="C17" s="5"/>
      <c r="D17" s="18">
        <v>42385</v>
      </c>
      <c r="E17" s="13" t="s">
        <v>7</v>
      </c>
      <c r="F17" s="15" t="s">
        <v>35</v>
      </c>
      <c r="G17" s="14" t="s">
        <v>43</v>
      </c>
      <c r="H17" s="14" t="s">
        <v>44</v>
      </c>
      <c r="I17" s="14" t="s">
        <v>45</v>
      </c>
      <c r="J17" s="16">
        <v>6189.75</v>
      </c>
      <c r="K17" s="14">
        <v>4640</v>
      </c>
    </row>
    <row r="18" spans="1:11" hidden="1" x14ac:dyDescent="0.15">
      <c r="A18" s="30"/>
      <c r="B18" s="30"/>
      <c r="C18" s="5"/>
      <c r="D18" s="17">
        <v>42392</v>
      </c>
      <c r="E18" s="9" t="s">
        <v>7</v>
      </c>
      <c r="F18" s="11" t="s">
        <v>35</v>
      </c>
      <c r="G18" s="10" t="s">
        <v>9</v>
      </c>
      <c r="H18" s="10" t="s">
        <v>34</v>
      </c>
      <c r="I18" s="10" t="s">
        <v>46</v>
      </c>
      <c r="J18" s="12">
        <v>2908</v>
      </c>
      <c r="K18" s="10">
        <v>2940</v>
      </c>
    </row>
    <row r="19" spans="1:11" hidden="1" x14ac:dyDescent="0.15">
      <c r="A19" s="30"/>
      <c r="B19" s="30"/>
      <c r="C19" s="5"/>
      <c r="D19" s="18">
        <v>42377</v>
      </c>
      <c r="E19" s="13" t="s">
        <v>7</v>
      </c>
      <c r="F19" s="15" t="s">
        <v>35</v>
      </c>
      <c r="G19" s="14" t="s">
        <v>47</v>
      </c>
      <c r="H19" s="14" t="s">
        <v>34</v>
      </c>
      <c r="I19" s="14" t="s">
        <v>48</v>
      </c>
      <c r="J19" s="16">
        <v>2214</v>
      </c>
      <c r="K19" s="14">
        <v>2780</v>
      </c>
    </row>
    <row r="20" spans="1:11" hidden="1" x14ac:dyDescent="0.15">
      <c r="A20" s="30"/>
      <c r="B20" s="30"/>
      <c r="C20" s="5"/>
      <c r="D20" s="17">
        <v>42694</v>
      </c>
      <c r="E20" s="9" t="s">
        <v>49</v>
      </c>
      <c r="F20" s="11" t="s">
        <v>31</v>
      </c>
      <c r="G20" s="10" t="s">
        <v>36</v>
      </c>
      <c r="H20" s="10" t="s">
        <v>44</v>
      </c>
      <c r="I20" s="10" t="s">
        <v>11</v>
      </c>
      <c r="J20" s="12">
        <v>8829</v>
      </c>
      <c r="K20" s="10">
        <v>3160</v>
      </c>
    </row>
    <row r="21" spans="1:11" hidden="1" x14ac:dyDescent="0.15">
      <c r="A21" s="30"/>
      <c r="B21" s="30"/>
      <c r="C21" s="5"/>
      <c r="D21" s="18">
        <v>42608</v>
      </c>
      <c r="E21" s="13" t="s">
        <v>33</v>
      </c>
      <c r="F21" s="15" t="s">
        <v>31</v>
      </c>
      <c r="G21" s="14" t="s">
        <v>50</v>
      </c>
      <c r="H21" s="14" t="s">
        <v>25</v>
      </c>
      <c r="I21" s="14" t="s">
        <v>11</v>
      </c>
      <c r="J21" s="16">
        <v>9120</v>
      </c>
      <c r="K21" s="14">
        <v>5200</v>
      </c>
    </row>
    <row r="22" spans="1:11" hidden="1" x14ac:dyDescent="0.15">
      <c r="A22" s="30"/>
      <c r="B22" s="30"/>
      <c r="C22" s="5"/>
      <c r="D22" s="17">
        <v>42449</v>
      </c>
      <c r="E22" s="9" t="s">
        <v>12</v>
      </c>
      <c r="F22" s="11" t="s">
        <v>35</v>
      </c>
      <c r="G22" s="10" t="s">
        <v>51</v>
      </c>
      <c r="H22" s="10" t="s">
        <v>25</v>
      </c>
      <c r="I22" s="10" t="s">
        <v>52</v>
      </c>
      <c r="J22" s="12">
        <v>2173</v>
      </c>
      <c r="K22" s="10">
        <v>2080</v>
      </c>
    </row>
    <row r="23" spans="1:11" hidden="1" x14ac:dyDescent="0.15">
      <c r="A23" s="30"/>
      <c r="B23" s="30"/>
      <c r="C23" s="5"/>
      <c r="D23" s="18">
        <v>42391</v>
      </c>
      <c r="E23" s="13" t="s">
        <v>7</v>
      </c>
      <c r="F23" s="15" t="s">
        <v>35</v>
      </c>
      <c r="G23" s="14" t="s">
        <v>30</v>
      </c>
      <c r="H23" s="14" t="s">
        <v>32</v>
      </c>
      <c r="I23" s="14" t="s">
        <v>17</v>
      </c>
      <c r="J23" s="16">
        <v>14250</v>
      </c>
      <c r="K23" s="14">
        <v>4240</v>
      </c>
    </row>
    <row r="24" spans="1:11" hidden="1" x14ac:dyDescent="0.15">
      <c r="A24" s="30"/>
      <c r="B24" s="30"/>
      <c r="C24" s="5"/>
      <c r="D24" s="17">
        <v>42402</v>
      </c>
      <c r="E24" s="9" t="s">
        <v>18</v>
      </c>
      <c r="F24" s="11" t="s">
        <v>35</v>
      </c>
      <c r="G24" s="10" t="s">
        <v>47</v>
      </c>
      <c r="H24" s="10" t="s">
        <v>41</v>
      </c>
      <c r="I24" s="10" t="s">
        <v>17</v>
      </c>
      <c r="J24" s="12">
        <v>13050</v>
      </c>
      <c r="K24" s="10">
        <v>2980</v>
      </c>
    </row>
    <row r="25" spans="1:11" hidden="1" x14ac:dyDescent="0.15">
      <c r="A25" s="30"/>
      <c r="B25" s="30"/>
      <c r="C25" s="5"/>
      <c r="D25" s="18">
        <v>42496</v>
      </c>
      <c r="E25" s="13" t="s">
        <v>53</v>
      </c>
      <c r="F25" s="15" t="s">
        <v>31</v>
      </c>
      <c r="G25" s="14" t="s">
        <v>13</v>
      </c>
      <c r="H25" s="14" t="s">
        <v>54</v>
      </c>
      <c r="I25" s="14" t="s">
        <v>21</v>
      </c>
      <c r="J25" s="16">
        <v>12950</v>
      </c>
      <c r="K25" s="14">
        <v>5220</v>
      </c>
    </row>
    <row r="26" spans="1:11" hidden="1" x14ac:dyDescent="0.15">
      <c r="A26" s="30"/>
      <c r="B26" s="30"/>
      <c r="C26" s="5"/>
      <c r="D26" s="17">
        <v>42723</v>
      </c>
      <c r="E26" s="9" t="s">
        <v>55</v>
      </c>
      <c r="F26" s="11" t="s">
        <v>31</v>
      </c>
      <c r="G26" s="10" t="s">
        <v>43</v>
      </c>
      <c r="H26" s="10" t="s">
        <v>25</v>
      </c>
      <c r="I26" s="10" t="s">
        <v>21</v>
      </c>
      <c r="J26" s="12">
        <v>11800</v>
      </c>
      <c r="K26" s="10">
        <v>3740</v>
      </c>
    </row>
    <row r="27" spans="1:11" hidden="1" x14ac:dyDescent="0.15">
      <c r="A27" s="30"/>
      <c r="B27" s="30"/>
      <c r="C27" s="5"/>
      <c r="D27" s="18">
        <v>42127</v>
      </c>
      <c r="E27" s="13" t="s">
        <v>53</v>
      </c>
      <c r="F27" s="15" t="s">
        <v>35</v>
      </c>
      <c r="G27" s="14" t="s">
        <v>19</v>
      </c>
      <c r="H27" s="14" t="s">
        <v>56</v>
      </c>
      <c r="I27" s="14" t="s">
        <v>46</v>
      </c>
      <c r="J27" s="16">
        <v>14400</v>
      </c>
      <c r="K27" s="14">
        <v>4120</v>
      </c>
    </row>
    <row r="28" spans="1:11" hidden="1" x14ac:dyDescent="0.15">
      <c r="A28" s="30"/>
      <c r="B28" s="30"/>
      <c r="C28" s="5"/>
      <c r="D28" s="17">
        <v>42021</v>
      </c>
      <c r="E28" s="9" t="s">
        <v>7</v>
      </c>
      <c r="F28" s="11" t="s">
        <v>57</v>
      </c>
      <c r="G28" s="10" t="s">
        <v>28</v>
      </c>
      <c r="H28" s="10" t="s">
        <v>58</v>
      </c>
      <c r="I28" s="10" t="s">
        <v>39</v>
      </c>
      <c r="J28" s="12">
        <v>13550</v>
      </c>
      <c r="K28" s="10">
        <v>4660</v>
      </c>
    </row>
    <row r="29" spans="1:11" hidden="1" x14ac:dyDescent="0.15">
      <c r="A29" s="30"/>
      <c r="B29" s="30"/>
      <c r="C29" s="5"/>
      <c r="D29" s="18">
        <v>42318</v>
      </c>
      <c r="E29" s="13" t="s">
        <v>49</v>
      </c>
      <c r="F29" s="15" t="s">
        <v>35</v>
      </c>
      <c r="G29" s="14" t="s">
        <v>19</v>
      </c>
      <c r="H29" s="14" t="s">
        <v>56</v>
      </c>
      <c r="I29" s="14" t="s">
        <v>21</v>
      </c>
      <c r="J29" s="16">
        <v>13350</v>
      </c>
      <c r="K29" s="14">
        <v>4540</v>
      </c>
    </row>
    <row r="30" spans="1:11" hidden="1" x14ac:dyDescent="0.15">
      <c r="A30" s="30"/>
      <c r="B30" s="30"/>
      <c r="C30" s="5"/>
      <c r="D30" s="17">
        <v>42005</v>
      </c>
      <c r="E30" s="9" t="s">
        <v>7</v>
      </c>
      <c r="F30" s="11" t="s">
        <v>57</v>
      </c>
      <c r="G30" s="10" t="s">
        <v>9</v>
      </c>
      <c r="H30" s="10" t="s">
        <v>59</v>
      </c>
      <c r="I30" s="10" t="s">
        <v>46</v>
      </c>
      <c r="J30" s="12">
        <v>14700</v>
      </c>
      <c r="K30" s="10">
        <v>4160</v>
      </c>
    </row>
    <row r="31" spans="1:11" hidden="1" x14ac:dyDescent="0.15">
      <c r="A31" s="30"/>
      <c r="B31" s="30"/>
      <c r="C31" s="5"/>
      <c r="D31" s="18">
        <v>42137</v>
      </c>
      <c r="E31" s="13" t="s">
        <v>53</v>
      </c>
      <c r="F31" s="15" t="s">
        <v>35</v>
      </c>
      <c r="G31" s="14" t="s">
        <v>9</v>
      </c>
      <c r="H31" s="14" t="s">
        <v>10</v>
      </c>
      <c r="I31" s="14" t="s">
        <v>48</v>
      </c>
      <c r="J31" s="16">
        <v>11500</v>
      </c>
      <c r="K31" s="14">
        <v>3180</v>
      </c>
    </row>
    <row r="32" spans="1:11" hidden="1" x14ac:dyDescent="0.15">
      <c r="A32" s="30"/>
      <c r="B32" s="30"/>
      <c r="C32" s="5"/>
      <c r="D32" s="17">
        <v>42222</v>
      </c>
      <c r="E32" s="9" t="s">
        <v>33</v>
      </c>
      <c r="F32" s="11" t="s">
        <v>35</v>
      </c>
      <c r="G32" s="10" t="s">
        <v>47</v>
      </c>
      <c r="H32" s="10" t="s">
        <v>59</v>
      </c>
      <c r="I32" s="10" t="s">
        <v>48</v>
      </c>
      <c r="J32" s="12">
        <v>14500</v>
      </c>
      <c r="K32" s="10">
        <v>2620</v>
      </c>
    </row>
    <row r="33" spans="1:11" hidden="1" x14ac:dyDescent="0.15">
      <c r="A33" s="30"/>
      <c r="B33" s="30"/>
      <c r="C33" s="5"/>
      <c r="D33" s="18">
        <v>42282</v>
      </c>
      <c r="E33" s="13" t="s">
        <v>40</v>
      </c>
      <c r="F33" s="15" t="s">
        <v>35</v>
      </c>
      <c r="G33" s="14" t="s">
        <v>51</v>
      </c>
      <c r="H33" s="14" t="s">
        <v>42</v>
      </c>
      <c r="I33" s="14" t="s">
        <v>52</v>
      </c>
      <c r="J33" s="16">
        <v>13450</v>
      </c>
      <c r="K33" s="14">
        <v>5260</v>
      </c>
    </row>
    <row r="34" spans="1:11" hidden="1" x14ac:dyDescent="0.15">
      <c r="A34" s="30"/>
      <c r="B34" s="30"/>
      <c r="C34" s="5"/>
      <c r="D34" s="17">
        <v>42017</v>
      </c>
      <c r="E34" s="9" t="s">
        <v>7</v>
      </c>
      <c r="F34" s="11" t="s">
        <v>57</v>
      </c>
      <c r="G34" s="10" t="s">
        <v>28</v>
      </c>
      <c r="H34" s="10" t="s">
        <v>58</v>
      </c>
      <c r="I34" s="10" t="s">
        <v>52</v>
      </c>
      <c r="J34" s="12">
        <v>14650</v>
      </c>
      <c r="K34" s="10">
        <v>5600</v>
      </c>
    </row>
    <row r="35" spans="1:11" hidden="1" x14ac:dyDescent="0.15">
      <c r="A35" s="30"/>
      <c r="B35" s="30"/>
      <c r="C35" s="5"/>
      <c r="D35" s="18">
        <v>42217</v>
      </c>
      <c r="E35" s="13" t="s">
        <v>33</v>
      </c>
      <c r="F35" s="15" t="s">
        <v>35</v>
      </c>
      <c r="G35" s="14" t="s">
        <v>60</v>
      </c>
      <c r="H35" s="14" t="s">
        <v>25</v>
      </c>
      <c r="I35" s="14" t="s">
        <v>52</v>
      </c>
      <c r="J35" s="16">
        <v>12700</v>
      </c>
      <c r="K35" s="14">
        <v>3240</v>
      </c>
    </row>
    <row r="36" spans="1:11" hidden="1" x14ac:dyDescent="0.15">
      <c r="A36" s="30"/>
      <c r="B36" s="30"/>
      <c r="C36" s="5"/>
      <c r="D36" s="17">
        <v>42211</v>
      </c>
      <c r="E36" s="9" t="s">
        <v>26</v>
      </c>
      <c r="F36" s="11" t="s">
        <v>35</v>
      </c>
      <c r="G36" s="10" t="s">
        <v>47</v>
      </c>
      <c r="H36" s="10" t="s">
        <v>41</v>
      </c>
      <c r="I36" s="10" t="s">
        <v>11</v>
      </c>
      <c r="J36" s="12">
        <v>10400</v>
      </c>
      <c r="K36" s="10">
        <v>5660</v>
      </c>
    </row>
    <row r="37" spans="1:11" hidden="1" x14ac:dyDescent="0.15">
      <c r="A37" s="30"/>
      <c r="B37" s="30"/>
      <c r="C37" s="5"/>
      <c r="D37" s="18">
        <v>42144</v>
      </c>
      <c r="E37" s="13" t="s">
        <v>53</v>
      </c>
      <c r="F37" s="15" t="s">
        <v>35</v>
      </c>
      <c r="G37" s="14" t="s">
        <v>13</v>
      </c>
      <c r="H37" s="14" t="s">
        <v>42</v>
      </c>
      <c r="I37" s="14" t="s">
        <v>21</v>
      </c>
      <c r="J37" s="16">
        <v>11600</v>
      </c>
      <c r="K37" s="14">
        <v>4260</v>
      </c>
    </row>
    <row r="38" spans="1:11" hidden="1" x14ac:dyDescent="0.15">
      <c r="A38" s="30"/>
      <c r="B38" s="30"/>
      <c r="C38" s="5"/>
      <c r="D38" s="17">
        <v>42341</v>
      </c>
      <c r="E38" s="9" t="s">
        <v>55</v>
      </c>
      <c r="F38" s="11" t="s">
        <v>35</v>
      </c>
      <c r="G38" s="10" t="s">
        <v>60</v>
      </c>
      <c r="H38" s="10" t="s">
        <v>10</v>
      </c>
      <c r="I38" s="10" t="s">
        <v>21</v>
      </c>
      <c r="J38" s="12">
        <v>11500</v>
      </c>
      <c r="K38" s="10">
        <v>2520</v>
      </c>
    </row>
    <row r="39" spans="1:11" hidden="1" x14ac:dyDescent="0.15">
      <c r="A39" s="30"/>
      <c r="B39" s="30"/>
      <c r="C39" s="5"/>
      <c r="D39" s="18">
        <v>42246</v>
      </c>
      <c r="E39" s="13" t="s">
        <v>33</v>
      </c>
      <c r="F39" s="15" t="s">
        <v>35</v>
      </c>
      <c r="G39" s="14" t="s">
        <v>47</v>
      </c>
      <c r="H39" s="14" t="s">
        <v>59</v>
      </c>
      <c r="I39" s="14" t="s">
        <v>45</v>
      </c>
      <c r="J39" s="16">
        <v>11150</v>
      </c>
      <c r="K39" s="14">
        <v>3640</v>
      </c>
    </row>
    <row r="40" spans="1:11" hidden="1" x14ac:dyDescent="0.15">
      <c r="A40" s="30"/>
      <c r="B40" s="30"/>
      <c r="C40" s="5"/>
      <c r="D40" s="17">
        <v>42115</v>
      </c>
      <c r="E40" s="9" t="s">
        <v>22</v>
      </c>
      <c r="F40" s="11" t="s">
        <v>35</v>
      </c>
      <c r="G40" s="10" t="s">
        <v>61</v>
      </c>
      <c r="H40" s="10" t="s">
        <v>41</v>
      </c>
      <c r="I40" s="10" t="s">
        <v>45</v>
      </c>
      <c r="J40" s="12">
        <v>14700</v>
      </c>
      <c r="K40" s="10">
        <v>5320</v>
      </c>
    </row>
    <row r="41" spans="1:11" hidden="1" x14ac:dyDescent="0.15">
      <c r="A41" s="30"/>
      <c r="B41" s="30"/>
      <c r="C41" s="5"/>
      <c r="D41" s="18">
        <v>42105</v>
      </c>
      <c r="E41" s="13" t="s">
        <v>22</v>
      </c>
      <c r="F41" s="15" t="s">
        <v>35</v>
      </c>
      <c r="G41" s="14" t="s">
        <v>60</v>
      </c>
      <c r="H41" s="14" t="s">
        <v>41</v>
      </c>
      <c r="I41" s="14" t="s">
        <v>45</v>
      </c>
      <c r="J41" s="16">
        <v>11200</v>
      </c>
      <c r="K41" s="14">
        <v>5680</v>
      </c>
    </row>
    <row r="42" spans="1:11" hidden="1" x14ac:dyDescent="0.15">
      <c r="A42" s="30"/>
      <c r="B42" s="30"/>
      <c r="C42" s="5"/>
      <c r="D42" s="17">
        <v>42179</v>
      </c>
      <c r="E42" s="9" t="s">
        <v>62</v>
      </c>
      <c r="F42" s="11" t="s">
        <v>35</v>
      </c>
      <c r="G42" s="10" t="s">
        <v>60</v>
      </c>
      <c r="H42" s="10" t="s">
        <v>41</v>
      </c>
      <c r="I42" s="10" t="s">
        <v>63</v>
      </c>
      <c r="J42" s="12">
        <v>14750</v>
      </c>
      <c r="K42" s="10">
        <v>4420</v>
      </c>
    </row>
    <row r="43" spans="1:11" hidden="1" x14ac:dyDescent="0.15">
      <c r="A43" s="30"/>
      <c r="B43" s="30"/>
      <c r="C43" s="5"/>
      <c r="D43" s="18">
        <v>42029</v>
      </c>
      <c r="E43" s="13" t="s">
        <v>7</v>
      </c>
      <c r="F43" s="15" t="s">
        <v>57</v>
      </c>
      <c r="G43" s="14" t="s">
        <v>24</v>
      </c>
      <c r="H43" s="14" t="s">
        <v>44</v>
      </c>
      <c r="I43" s="14" t="s">
        <v>52</v>
      </c>
      <c r="J43" s="16">
        <v>11650</v>
      </c>
      <c r="K43" s="14">
        <v>5280</v>
      </c>
    </row>
    <row r="44" spans="1:11" hidden="1" x14ac:dyDescent="0.15">
      <c r="A44" s="30"/>
      <c r="B44" s="30"/>
      <c r="C44" s="5"/>
      <c r="D44" s="17">
        <v>42238</v>
      </c>
      <c r="E44" s="9" t="s">
        <v>33</v>
      </c>
      <c r="F44" s="11" t="s">
        <v>35</v>
      </c>
      <c r="G44" s="10" t="s">
        <v>9</v>
      </c>
      <c r="H44" s="10" t="s">
        <v>59</v>
      </c>
      <c r="I44" s="10" t="s">
        <v>52</v>
      </c>
      <c r="J44" s="12">
        <v>11750</v>
      </c>
      <c r="K44" s="10">
        <v>2820</v>
      </c>
    </row>
    <row r="45" spans="1:11" hidden="1" x14ac:dyDescent="0.15">
      <c r="A45" s="30"/>
      <c r="B45" s="30"/>
      <c r="C45" s="5"/>
      <c r="D45" s="18">
        <v>42298</v>
      </c>
      <c r="E45" s="13" t="s">
        <v>40</v>
      </c>
      <c r="F45" s="15" t="s">
        <v>35</v>
      </c>
      <c r="G45" s="14" t="s">
        <v>50</v>
      </c>
      <c r="H45" s="14" t="s">
        <v>41</v>
      </c>
      <c r="I45" s="14" t="s">
        <v>48</v>
      </c>
      <c r="J45" s="16">
        <v>12500</v>
      </c>
      <c r="K45" s="14">
        <v>4280</v>
      </c>
    </row>
    <row r="46" spans="1:11" hidden="1" x14ac:dyDescent="0.15">
      <c r="A46" s="30"/>
      <c r="B46" s="30"/>
      <c r="C46" s="5"/>
      <c r="D46" s="17">
        <v>42222</v>
      </c>
      <c r="E46" s="9" t="s">
        <v>33</v>
      </c>
      <c r="F46" s="11" t="s">
        <v>35</v>
      </c>
      <c r="G46" s="10" t="s">
        <v>60</v>
      </c>
      <c r="H46" s="10" t="s">
        <v>25</v>
      </c>
      <c r="I46" s="10" t="s">
        <v>11</v>
      </c>
      <c r="J46" s="12">
        <v>14000</v>
      </c>
      <c r="K46" s="10">
        <v>5060</v>
      </c>
    </row>
    <row r="47" spans="1:11" hidden="1" x14ac:dyDescent="0.15">
      <c r="A47" s="30"/>
      <c r="B47" s="30"/>
      <c r="C47" s="5"/>
      <c r="D47" s="18">
        <v>42357</v>
      </c>
      <c r="E47" s="13" t="s">
        <v>55</v>
      </c>
      <c r="F47" s="15" t="s">
        <v>35</v>
      </c>
      <c r="G47" s="14" t="s">
        <v>60</v>
      </c>
      <c r="H47" s="14" t="s">
        <v>10</v>
      </c>
      <c r="I47" s="14" t="s">
        <v>39</v>
      </c>
      <c r="J47" s="16">
        <v>12600</v>
      </c>
      <c r="K47" s="14">
        <v>2000</v>
      </c>
    </row>
    <row r="48" spans="1:11" hidden="1" x14ac:dyDescent="0.15">
      <c r="A48" s="30"/>
      <c r="B48" s="30"/>
      <c r="C48" s="5"/>
      <c r="D48" s="17">
        <v>42142</v>
      </c>
      <c r="E48" s="9" t="s">
        <v>53</v>
      </c>
      <c r="F48" s="11" t="s">
        <v>35</v>
      </c>
      <c r="G48" s="10" t="s">
        <v>47</v>
      </c>
      <c r="H48" s="10" t="s">
        <v>34</v>
      </c>
      <c r="I48" s="10" t="s">
        <v>39</v>
      </c>
      <c r="J48" s="12">
        <v>14550</v>
      </c>
      <c r="K48" s="10">
        <v>3900</v>
      </c>
    </row>
    <row r="49" spans="1:11" hidden="1" x14ac:dyDescent="0.15">
      <c r="A49" s="30"/>
      <c r="B49" s="30"/>
      <c r="C49" s="5"/>
      <c r="D49" s="18">
        <v>42045</v>
      </c>
      <c r="E49" s="13" t="s">
        <v>18</v>
      </c>
      <c r="F49" s="15" t="s">
        <v>57</v>
      </c>
      <c r="G49" s="14" t="s">
        <v>60</v>
      </c>
      <c r="H49" s="14" t="s">
        <v>10</v>
      </c>
      <c r="I49" s="14" t="s">
        <v>45</v>
      </c>
      <c r="J49" s="16">
        <v>14650</v>
      </c>
      <c r="K49" s="14">
        <v>5520</v>
      </c>
    </row>
    <row r="50" spans="1:11" hidden="1" x14ac:dyDescent="0.15">
      <c r="A50" s="30"/>
      <c r="B50" s="30"/>
      <c r="C50" s="5"/>
      <c r="D50" s="17">
        <v>42225</v>
      </c>
      <c r="E50" s="9" t="s">
        <v>33</v>
      </c>
      <c r="F50" s="11" t="s">
        <v>35</v>
      </c>
      <c r="G50" s="10" t="s">
        <v>30</v>
      </c>
      <c r="H50" s="10" t="s">
        <v>64</v>
      </c>
      <c r="I50" s="10" t="s">
        <v>45</v>
      </c>
      <c r="J50" s="12">
        <v>12750</v>
      </c>
      <c r="K50" s="10">
        <v>2360</v>
      </c>
    </row>
    <row r="51" spans="1:11" hidden="1" x14ac:dyDescent="0.15">
      <c r="A51" s="30"/>
      <c r="B51" s="30"/>
      <c r="C51" s="5"/>
      <c r="D51" s="18">
        <v>42231</v>
      </c>
      <c r="E51" s="13" t="s">
        <v>33</v>
      </c>
      <c r="F51" s="15" t="s">
        <v>35</v>
      </c>
      <c r="G51" s="14" t="s">
        <v>61</v>
      </c>
      <c r="H51" s="14" t="s">
        <v>65</v>
      </c>
      <c r="I51" s="14" t="s">
        <v>17</v>
      </c>
      <c r="J51" s="16">
        <v>14150</v>
      </c>
      <c r="K51" s="14">
        <v>5520</v>
      </c>
    </row>
    <row r="52" spans="1:11" hidden="1" x14ac:dyDescent="0.15">
      <c r="A52" s="30"/>
      <c r="B52" s="30"/>
      <c r="C52" s="5"/>
      <c r="D52" s="17">
        <v>42283</v>
      </c>
      <c r="E52" s="9" t="s">
        <v>40</v>
      </c>
      <c r="F52" s="11" t="s">
        <v>35</v>
      </c>
      <c r="G52" s="10" t="s">
        <v>13</v>
      </c>
      <c r="H52" s="10" t="s">
        <v>42</v>
      </c>
      <c r="I52" s="10" t="s">
        <v>63</v>
      </c>
      <c r="J52" s="12">
        <v>14300</v>
      </c>
      <c r="K52" s="10">
        <v>4420</v>
      </c>
    </row>
    <row r="53" spans="1:11" hidden="1" x14ac:dyDescent="0.15">
      <c r="A53" s="30"/>
      <c r="B53" s="30"/>
      <c r="C53" s="5"/>
      <c r="D53" s="18">
        <v>42218</v>
      </c>
      <c r="E53" s="13" t="s">
        <v>33</v>
      </c>
      <c r="F53" s="15" t="s">
        <v>35</v>
      </c>
      <c r="G53" s="14" t="s">
        <v>19</v>
      </c>
      <c r="H53" s="14" t="s">
        <v>66</v>
      </c>
      <c r="I53" s="14" t="s">
        <v>63</v>
      </c>
      <c r="J53" s="16">
        <v>11350</v>
      </c>
      <c r="K53" s="14">
        <v>3920</v>
      </c>
    </row>
    <row r="54" spans="1:11" hidden="1" x14ac:dyDescent="0.15">
      <c r="A54" s="30"/>
      <c r="B54" s="30"/>
      <c r="C54" s="5"/>
      <c r="D54" s="17">
        <v>42143</v>
      </c>
      <c r="E54" s="9" t="s">
        <v>53</v>
      </c>
      <c r="F54" s="11" t="s">
        <v>35</v>
      </c>
      <c r="G54" s="10" t="s">
        <v>36</v>
      </c>
      <c r="H54" s="10" t="s">
        <v>41</v>
      </c>
      <c r="I54" s="10" t="s">
        <v>63</v>
      </c>
      <c r="J54" s="12">
        <v>10450</v>
      </c>
      <c r="K54" s="10">
        <v>5340</v>
      </c>
    </row>
    <row r="55" spans="1:11" hidden="1" x14ac:dyDescent="0.15">
      <c r="A55" s="30"/>
      <c r="B55" s="30"/>
      <c r="C55" s="5"/>
      <c r="D55" s="18">
        <v>42283</v>
      </c>
      <c r="E55" s="13" t="s">
        <v>40</v>
      </c>
      <c r="F55" s="15" t="s">
        <v>35</v>
      </c>
      <c r="G55" s="14" t="s">
        <v>36</v>
      </c>
      <c r="H55" s="14" t="s">
        <v>37</v>
      </c>
      <c r="I55" s="14" t="s">
        <v>45</v>
      </c>
      <c r="J55" s="16">
        <v>11900</v>
      </c>
      <c r="K55" s="14">
        <v>2720</v>
      </c>
    </row>
    <row r="56" spans="1:11" hidden="1" x14ac:dyDescent="0.15">
      <c r="A56" s="30"/>
      <c r="B56" s="30"/>
      <c r="C56" s="5"/>
      <c r="D56" s="17">
        <v>42039</v>
      </c>
      <c r="E56" s="9" t="s">
        <v>18</v>
      </c>
      <c r="F56" s="11" t="s">
        <v>57</v>
      </c>
      <c r="G56" s="10" t="s">
        <v>28</v>
      </c>
      <c r="H56" s="10" t="s">
        <v>10</v>
      </c>
      <c r="I56" s="10" t="s">
        <v>45</v>
      </c>
      <c r="J56" s="12">
        <v>12850</v>
      </c>
      <c r="K56" s="10">
        <v>4700</v>
      </c>
    </row>
    <row r="57" spans="1:11" hidden="1" x14ac:dyDescent="0.15">
      <c r="A57" s="30"/>
      <c r="B57" s="30"/>
      <c r="C57" s="5"/>
      <c r="D57" s="18">
        <v>42146</v>
      </c>
      <c r="E57" s="13" t="s">
        <v>53</v>
      </c>
      <c r="F57" s="15" t="s">
        <v>35</v>
      </c>
      <c r="G57" s="14" t="s">
        <v>28</v>
      </c>
      <c r="H57" s="14" t="s">
        <v>58</v>
      </c>
      <c r="I57" s="14" t="s">
        <v>63</v>
      </c>
      <c r="J57" s="16">
        <v>10100</v>
      </c>
      <c r="K57" s="14">
        <v>2720</v>
      </c>
    </row>
    <row r="58" spans="1:11" hidden="1" x14ac:dyDescent="0.15">
      <c r="A58" s="30"/>
      <c r="B58" s="30"/>
      <c r="C58" s="5"/>
      <c r="D58" s="17">
        <v>42206</v>
      </c>
      <c r="E58" s="9" t="s">
        <v>26</v>
      </c>
      <c r="F58" s="11" t="s">
        <v>35</v>
      </c>
      <c r="G58" s="10" t="s">
        <v>30</v>
      </c>
      <c r="H58" s="10" t="s">
        <v>37</v>
      </c>
      <c r="I58" s="10" t="s">
        <v>63</v>
      </c>
      <c r="J58" s="12">
        <v>10950</v>
      </c>
      <c r="K58" s="10">
        <v>3380</v>
      </c>
    </row>
    <row r="59" spans="1:11" hidden="1" x14ac:dyDescent="0.15">
      <c r="A59" s="30"/>
      <c r="B59" s="30"/>
      <c r="C59" s="5"/>
      <c r="D59" s="18">
        <v>42155</v>
      </c>
      <c r="E59" s="13" t="s">
        <v>53</v>
      </c>
      <c r="F59" s="15" t="s">
        <v>35</v>
      </c>
      <c r="G59" s="14" t="s">
        <v>19</v>
      </c>
      <c r="H59" s="14" t="s">
        <v>66</v>
      </c>
      <c r="I59" s="14" t="s">
        <v>46</v>
      </c>
      <c r="J59" s="16">
        <v>10250</v>
      </c>
      <c r="K59" s="14">
        <v>5600</v>
      </c>
    </row>
    <row r="60" spans="1:11" hidden="1" x14ac:dyDescent="0.15">
      <c r="A60" s="30"/>
      <c r="B60" s="30"/>
      <c r="C60" s="5"/>
      <c r="D60" s="17">
        <v>42247</v>
      </c>
      <c r="E60" s="9" t="s">
        <v>33</v>
      </c>
      <c r="F60" s="11" t="s">
        <v>35</v>
      </c>
      <c r="G60" s="10" t="s">
        <v>19</v>
      </c>
      <c r="H60" s="10" t="s">
        <v>20</v>
      </c>
      <c r="I60" s="10" t="s">
        <v>46</v>
      </c>
      <c r="J60" s="12">
        <v>13200</v>
      </c>
      <c r="K60" s="10">
        <v>5660</v>
      </c>
    </row>
    <row r="61" spans="1:11" hidden="1" x14ac:dyDescent="0.15">
      <c r="A61" s="30"/>
      <c r="B61" s="30"/>
      <c r="C61" s="5"/>
      <c r="D61" s="18">
        <v>42246</v>
      </c>
      <c r="E61" s="13" t="s">
        <v>33</v>
      </c>
      <c r="F61" s="15" t="s">
        <v>35</v>
      </c>
      <c r="G61" s="14" t="s">
        <v>61</v>
      </c>
      <c r="H61" s="14" t="s">
        <v>65</v>
      </c>
      <c r="I61" s="14" t="s">
        <v>39</v>
      </c>
      <c r="J61" s="16">
        <v>11850</v>
      </c>
      <c r="K61" s="14">
        <v>5580</v>
      </c>
    </row>
    <row r="62" spans="1:11" hidden="1" x14ac:dyDescent="0.15">
      <c r="A62" s="30"/>
      <c r="B62" s="30"/>
      <c r="C62" s="5"/>
      <c r="D62" s="17">
        <v>42131</v>
      </c>
      <c r="E62" s="9" t="s">
        <v>53</v>
      </c>
      <c r="F62" s="11" t="s">
        <v>35</v>
      </c>
      <c r="G62" s="10" t="s">
        <v>61</v>
      </c>
      <c r="H62" s="10" t="s">
        <v>41</v>
      </c>
      <c r="I62" s="10" t="s">
        <v>39</v>
      </c>
      <c r="J62" s="12">
        <v>13600</v>
      </c>
      <c r="K62" s="10">
        <v>3220</v>
      </c>
    </row>
    <row r="63" spans="1:11" hidden="1" x14ac:dyDescent="0.15">
      <c r="A63" s="30"/>
      <c r="B63" s="30"/>
      <c r="C63" s="5"/>
      <c r="D63" s="18">
        <v>42183</v>
      </c>
      <c r="E63" s="13" t="s">
        <v>62</v>
      </c>
      <c r="F63" s="15" t="s">
        <v>35</v>
      </c>
      <c r="G63" s="14" t="s">
        <v>9</v>
      </c>
      <c r="H63" s="14" t="s">
        <v>10</v>
      </c>
      <c r="I63" s="14" t="s">
        <v>39</v>
      </c>
      <c r="J63" s="16">
        <v>11900</v>
      </c>
      <c r="K63" s="14">
        <v>4020</v>
      </c>
    </row>
    <row r="64" spans="1:11" hidden="1" x14ac:dyDescent="0.15">
      <c r="A64" s="30"/>
      <c r="B64" s="30"/>
      <c r="C64" s="5"/>
      <c r="D64" s="17">
        <v>42358</v>
      </c>
      <c r="E64" s="9" t="s">
        <v>55</v>
      </c>
      <c r="F64" s="11" t="s">
        <v>35</v>
      </c>
      <c r="G64" s="10" t="s">
        <v>47</v>
      </c>
      <c r="H64" s="10" t="s">
        <v>59</v>
      </c>
      <c r="I64" s="10" t="s">
        <v>11</v>
      </c>
      <c r="J64" s="12">
        <v>10300</v>
      </c>
      <c r="K64" s="10">
        <v>2700</v>
      </c>
    </row>
    <row r="65" spans="1:11" hidden="1" x14ac:dyDescent="0.15">
      <c r="A65" s="30"/>
      <c r="B65" s="30"/>
      <c r="C65" s="5"/>
      <c r="D65" s="18">
        <v>42335</v>
      </c>
      <c r="E65" s="13" t="s">
        <v>49</v>
      </c>
      <c r="F65" s="15" t="s">
        <v>35</v>
      </c>
      <c r="G65" s="14" t="s">
        <v>61</v>
      </c>
      <c r="H65" s="14" t="s">
        <v>65</v>
      </c>
      <c r="I65" s="14" t="s">
        <v>48</v>
      </c>
      <c r="J65" s="16">
        <v>10500</v>
      </c>
      <c r="K65" s="14">
        <v>5420</v>
      </c>
    </row>
    <row r="66" spans="1:11" hidden="1" x14ac:dyDescent="0.15">
      <c r="A66" s="30"/>
      <c r="B66" s="30"/>
      <c r="C66" s="5"/>
      <c r="D66" s="17">
        <v>42231</v>
      </c>
      <c r="E66" s="9" t="s">
        <v>33</v>
      </c>
      <c r="F66" s="11" t="s">
        <v>35</v>
      </c>
      <c r="G66" s="10" t="s">
        <v>9</v>
      </c>
      <c r="H66" s="10" t="s">
        <v>34</v>
      </c>
      <c r="I66" s="10" t="s">
        <v>46</v>
      </c>
      <c r="J66" s="12">
        <v>15000</v>
      </c>
      <c r="K66" s="10">
        <v>4700</v>
      </c>
    </row>
    <row r="67" spans="1:11" hidden="1" x14ac:dyDescent="0.15">
      <c r="A67" s="30"/>
      <c r="B67" s="30"/>
      <c r="C67" s="5"/>
      <c r="D67" s="18">
        <v>42332</v>
      </c>
      <c r="E67" s="13" t="s">
        <v>49</v>
      </c>
      <c r="F67" s="15" t="s">
        <v>35</v>
      </c>
      <c r="G67" s="14" t="s">
        <v>9</v>
      </c>
      <c r="H67" s="14" t="s">
        <v>59</v>
      </c>
      <c r="I67" s="14" t="s">
        <v>45</v>
      </c>
      <c r="J67" s="16">
        <v>13450</v>
      </c>
      <c r="K67" s="14">
        <v>3080</v>
      </c>
    </row>
    <row r="68" spans="1:11" hidden="1" x14ac:dyDescent="0.15">
      <c r="A68" s="30"/>
      <c r="B68" s="30"/>
      <c r="C68" s="5"/>
      <c r="D68" s="17">
        <v>42064</v>
      </c>
      <c r="E68" s="9" t="s">
        <v>12</v>
      </c>
      <c r="F68" s="11" t="s">
        <v>57</v>
      </c>
      <c r="G68" s="10" t="s">
        <v>28</v>
      </c>
      <c r="H68" s="10" t="s">
        <v>58</v>
      </c>
      <c r="I68" s="10" t="s">
        <v>17</v>
      </c>
      <c r="J68" s="12">
        <v>14200</v>
      </c>
      <c r="K68" s="10">
        <v>2600</v>
      </c>
    </row>
    <row r="69" spans="1:11" hidden="1" x14ac:dyDescent="0.15">
      <c r="A69" s="30"/>
      <c r="B69" s="30"/>
      <c r="C69" s="5"/>
      <c r="D69" s="18">
        <v>42365</v>
      </c>
      <c r="E69" s="13" t="s">
        <v>55</v>
      </c>
      <c r="F69" s="15" t="s">
        <v>35</v>
      </c>
      <c r="G69" s="14" t="s">
        <v>28</v>
      </c>
      <c r="H69" s="14" t="s">
        <v>10</v>
      </c>
      <c r="I69" s="14" t="s">
        <v>46</v>
      </c>
      <c r="J69" s="16">
        <v>11250</v>
      </c>
      <c r="K69" s="14">
        <v>5240</v>
      </c>
    </row>
    <row r="70" spans="1:11" hidden="1" x14ac:dyDescent="0.15">
      <c r="A70" s="30"/>
      <c r="B70" s="30"/>
      <c r="C70" s="5"/>
      <c r="D70" s="17">
        <v>42067</v>
      </c>
      <c r="E70" s="9" t="s">
        <v>12</v>
      </c>
      <c r="F70" s="11" t="s">
        <v>57</v>
      </c>
      <c r="G70" s="10" t="s">
        <v>30</v>
      </c>
      <c r="H70" s="10" t="s">
        <v>32</v>
      </c>
      <c r="I70" s="10" t="s">
        <v>46</v>
      </c>
      <c r="J70" s="12">
        <v>14150</v>
      </c>
      <c r="K70" s="10">
        <v>5220</v>
      </c>
    </row>
    <row r="71" spans="1:11" hidden="1" x14ac:dyDescent="0.15">
      <c r="A71" s="30"/>
      <c r="B71" s="30"/>
      <c r="C71" s="5"/>
      <c r="D71" s="18">
        <v>42101</v>
      </c>
      <c r="E71" s="13" t="s">
        <v>22</v>
      </c>
      <c r="F71" s="15" t="s">
        <v>35</v>
      </c>
      <c r="G71" s="14" t="s">
        <v>43</v>
      </c>
      <c r="H71" s="14" t="s">
        <v>25</v>
      </c>
      <c r="I71" s="14" t="s">
        <v>39</v>
      </c>
      <c r="J71" s="16">
        <v>13650</v>
      </c>
      <c r="K71" s="14">
        <v>3300</v>
      </c>
    </row>
    <row r="72" spans="1:11" hidden="1" x14ac:dyDescent="0.15">
      <c r="A72" s="30"/>
      <c r="B72" s="30"/>
      <c r="C72" s="5"/>
      <c r="D72" s="17">
        <v>42335</v>
      </c>
      <c r="E72" s="9" t="s">
        <v>49</v>
      </c>
      <c r="F72" s="11" t="s">
        <v>35</v>
      </c>
      <c r="G72" s="10" t="s">
        <v>28</v>
      </c>
      <c r="H72" s="10" t="s">
        <v>58</v>
      </c>
      <c r="I72" s="10" t="s">
        <v>39</v>
      </c>
      <c r="J72" s="12">
        <v>14600</v>
      </c>
      <c r="K72" s="10">
        <v>5100</v>
      </c>
    </row>
    <row r="73" spans="1:11" hidden="1" x14ac:dyDescent="0.15">
      <c r="A73" s="30"/>
      <c r="B73" s="30"/>
      <c r="C73" s="5"/>
      <c r="D73" s="18">
        <v>42092</v>
      </c>
      <c r="E73" s="13" t="s">
        <v>12</v>
      </c>
      <c r="F73" s="15" t="s">
        <v>57</v>
      </c>
      <c r="G73" s="14" t="s">
        <v>24</v>
      </c>
      <c r="H73" s="14" t="s">
        <v>25</v>
      </c>
      <c r="I73" s="14" t="s">
        <v>63</v>
      </c>
      <c r="J73" s="16">
        <v>10150</v>
      </c>
      <c r="K73" s="14">
        <v>5280</v>
      </c>
    </row>
    <row r="74" spans="1:11" hidden="1" x14ac:dyDescent="0.15">
      <c r="A74" s="30"/>
      <c r="B74" s="30"/>
      <c r="C74" s="5"/>
      <c r="D74" s="17">
        <v>42281</v>
      </c>
      <c r="E74" s="9" t="s">
        <v>40</v>
      </c>
      <c r="F74" s="11" t="s">
        <v>35</v>
      </c>
      <c r="G74" s="10" t="s">
        <v>19</v>
      </c>
      <c r="H74" s="10" t="s">
        <v>66</v>
      </c>
      <c r="I74" s="10" t="s">
        <v>63</v>
      </c>
      <c r="J74" s="12">
        <v>11850</v>
      </c>
      <c r="K74" s="10">
        <v>3560</v>
      </c>
    </row>
    <row r="75" spans="1:11" hidden="1" x14ac:dyDescent="0.15">
      <c r="A75" s="30"/>
      <c r="B75" s="30"/>
      <c r="C75" s="5"/>
      <c r="D75" s="18">
        <v>42040</v>
      </c>
      <c r="E75" s="13" t="s">
        <v>18</v>
      </c>
      <c r="F75" s="15" t="s">
        <v>57</v>
      </c>
      <c r="G75" s="14" t="s">
        <v>19</v>
      </c>
      <c r="H75" s="14" t="s">
        <v>56</v>
      </c>
      <c r="I75" s="14" t="s">
        <v>45</v>
      </c>
      <c r="J75" s="16">
        <v>12400</v>
      </c>
      <c r="K75" s="14">
        <v>4480</v>
      </c>
    </row>
    <row r="76" spans="1:11" hidden="1" x14ac:dyDescent="0.15">
      <c r="A76" s="30"/>
      <c r="B76" s="30"/>
      <c r="C76" s="5"/>
      <c r="D76" s="17">
        <v>42160</v>
      </c>
      <c r="E76" s="9" t="s">
        <v>62</v>
      </c>
      <c r="F76" s="11" t="s">
        <v>35</v>
      </c>
      <c r="G76" s="10" t="s">
        <v>13</v>
      </c>
      <c r="H76" s="10" t="s">
        <v>16</v>
      </c>
      <c r="I76" s="10" t="s">
        <v>45</v>
      </c>
      <c r="J76" s="12">
        <v>12800</v>
      </c>
      <c r="K76" s="10">
        <v>5500</v>
      </c>
    </row>
    <row r="77" spans="1:11" hidden="1" x14ac:dyDescent="0.15">
      <c r="A77" s="30"/>
      <c r="B77" s="30"/>
      <c r="C77" s="5"/>
      <c r="D77" s="18">
        <v>42339</v>
      </c>
      <c r="E77" s="13" t="s">
        <v>55</v>
      </c>
      <c r="F77" s="15" t="s">
        <v>35</v>
      </c>
      <c r="G77" s="14" t="s">
        <v>28</v>
      </c>
      <c r="H77" s="14" t="s">
        <v>59</v>
      </c>
      <c r="I77" s="14" t="s">
        <v>45</v>
      </c>
      <c r="J77" s="16">
        <v>13600</v>
      </c>
      <c r="K77" s="14">
        <v>4200</v>
      </c>
    </row>
    <row r="78" spans="1:11" hidden="1" x14ac:dyDescent="0.15">
      <c r="A78" s="30"/>
      <c r="B78" s="30"/>
      <c r="C78" s="5"/>
      <c r="D78" s="17">
        <v>42093</v>
      </c>
      <c r="E78" s="9" t="s">
        <v>12</v>
      </c>
      <c r="F78" s="11" t="s">
        <v>57</v>
      </c>
      <c r="G78" s="10" t="s">
        <v>51</v>
      </c>
      <c r="H78" s="10" t="s">
        <v>41</v>
      </c>
      <c r="I78" s="10" t="s">
        <v>63</v>
      </c>
      <c r="J78" s="12">
        <v>13900</v>
      </c>
      <c r="K78" s="10">
        <v>4320</v>
      </c>
    </row>
    <row r="79" spans="1:11" hidden="1" x14ac:dyDescent="0.15">
      <c r="A79" s="30"/>
      <c r="B79" s="30"/>
      <c r="C79" s="5"/>
      <c r="D79" s="18">
        <v>42146</v>
      </c>
      <c r="E79" s="13" t="s">
        <v>53</v>
      </c>
      <c r="F79" s="15" t="s">
        <v>35</v>
      </c>
      <c r="G79" s="14" t="s">
        <v>61</v>
      </c>
      <c r="H79" s="14" t="s">
        <v>67</v>
      </c>
      <c r="I79" s="14" t="s">
        <v>11</v>
      </c>
      <c r="J79" s="16">
        <v>10550</v>
      </c>
      <c r="K79" s="14">
        <v>3800</v>
      </c>
    </row>
    <row r="80" spans="1:11" hidden="1" x14ac:dyDescent="0.15">
      <c r="A80" s="30"/>
      <c r="B80" s="30"/>
      <c r="C80" s="5"/>
      <c r="D80" s="17">
        <v>42059</v>
      </c>
      <c r="E80" s="9" t="s">
        <v>18</v>
      </c>
      <c r="F80" s="11" t="s">
        <v>57</v>
      </c>
      <c r="G80" s="10" t="s">
        <v>24</v>
      </c>
      <c r="H80" s="10" t="s">
        <v>44</v>
      </c>
      <c r="I80" s="10" t="s">
        <v>11</v>
      </c>
      <c r="J80" s="12">
        <v>13350</v>
      </c>
      <c r="K80" s="10">
        <v>2100</v>
      </c>
    </row>
    <row r="81" spans="1:11" hidden="1" x14ac:dyDescent="0.15">
      <c r="A81" s="30"/>
      <c r="B81" s="30"/>
      <c r="C81" s="5"/>
      <c r="D81" s="18">
        <v>42289</v>
      </c>
      <c r="E81" s="13" t="s">
        <v>40</v>
      </c>
      <c r="F81" s="15" t="s">
        <v>35</v>
      </c>
      <c r="G81" s="14" t="s">
        <v>24</v>
      </c>
      <c r="H81" s="14" t="s">
        <v>38</v>
      </c>
      <c r="I81" s="14" t="s">
        <v>52</v>
      </c>
      <c r="J81" s="16">
        <v>10000</v>
      </c>
      <c r="K81" s="14">
        <v>2900</v>
      </c>
    </row>
    <row r="82" spans="1:11" hidden="1" x14ac:dyDescent="0.15">
      <c r="A82" s="30"/>
      <c r="B82" s="30"/>
      <c r="C82" s="5"/>
      <c r="D82" s="17">
        <v>42095</v>
      </c>
      <c r="E82" s="9" t="s">
        <v>22</v>
      </c>
      <c r="F82" s="11" t="s">
        <v>35</v>
      </c>
      <c r="G82" s="10" t="s">
        <v>50</v>
      </c>
      <c r="H82" s="10" t="s">
        <v>41</v>
      </c>
      <c r="I82" s="10" t="s">
        <v>52</v>
      </c>
      <c r="J82" s="12">
        <v>10200</v>
      </c>
      <c r="K82" s="10">
        <v>3780</v>
      </c>
    </row>
    <row r="83" spans="1:11" hidden="1" x14ac:dyDescent="0.15">
      <c r="A83" s="30"/>
      <c r="B83" s="30"/>
      <c r="C83" s="5"/>
      <c r="D83" s="18">
        <v>42115</v>
      </c>
      <c r="E83" s="13" t="s">
        <v>22</v>
      </c>
      <c r="F83" s="15" t="s">
        <v>35</v>
      </c>
      <c r="G83" s="14" t="s">
        <v>36</v>
      </c>
      <c r="H83" s="14" t="s">
        <v>44</v>
      </c>
      <c r="I83" s="14" t="s">
        <v>45</v>
      </c>
      <c r="J83" s="16">
        <v>14100</v>
      </c>
      <c r="K83" s="14">
        <v>4420</v>
      </c>
    </row>
    <row r="84" spans="1:11" hidden="1" x14ac:dyDescent="0.15">
      <c r="A84" s="30"/>
      <c r="B84" s="30"/>
      <c r="C84" s="5"/>
      <c r="D84" s="17">
        <v>42335</v>
      </c>
      <c r="E84" s="9" t="s">
        <v>49</v>
      </c>
      <c r="F84" s="11" t="s">
        <v>35</v>
      </c>
      <c r="G84" s="10" t="s">
        <v>30</v>
      </c>
      <c r="H84" s="10" t="s">
        <v>64</v>
      </c>
      <c r="I84" s="10" t="s">
        <v>52</v>
      </c>
      <c r="J84" s="12">
        <v>13400</v>
      </c>
      <c r="K84" s="10">
        <v>5320</v>
      </c>
    </row>
    <row r="85" spans="1:11" hidden="1" x14ac:dyDescent="0.15">
      <c r="A85" s="30"/>
      <c r="B85" s="30"/>
      <c r="C85" s="5"/>
      <c r="D85" s="18">
        <v>42295</v>
      </c>
      <c r="E85" s="13" t="s">
        <v>40</v>
      </c>
      <c r="F85" s="15" t="s">
        <v>35</v>
      </c>
      <c r="G85" s="14" t="s">
        <v>50</v>
      </c>
      <c r="H85" s="14" t="s">
        <v>25</v>
      </c>
      <c r="I85" s="14" t="s">
        <v>52</v>
      </c>
      <c r="J85" s="16">
        <v>10600</v>
      </c>
      <c r="K85" s="14">
        <v>3580</v>
      </c>
    </row>
    <row r="86" spans="1:11" hidden="1" x14ac:dyDescent="0.15">
      <c r="A86" s="30"/>
      <c r="B86" s="30"/>
      <c r="C86" s="5"/>
      <c r="D86" s="17">
        <v>42012</v>
      </c>
      <c r="E86" s="9" t="s">
        <v>7</v>
      </c>
      <c r="F86" s="11" t="s">
        <v>57</v>
      </c>
      <c r="G86" s="10" t="s">
        <v>47</v>
      </c>
      <c r="H86" s="10" t="s">
        <v>41</v>
      </c>
      <c r="I86" s="10" t="s">
        <v>52</v>
      </c>
      <c r="J86" s="12">
        <v>14600</v>
      </c>
      <c r="K86" s="10">
        <v>4680</v>
      </c>
    </row>
    <row r="87" spans="1:11" hidden="1" x14ac:dyDescent="0.15">
      <c r="A87" s="30"/>
      <c r="B87" s="30"/>
      <c r="C87" s="5"/>
      <c r="D87" s="18">
        <v>42364</v>
      </c>
      <c r="E87" s="13" t="s">
        <v>55</v>
      </c>
      <c r="F87" s="15" t="s">
        <v>35</v>
      </c>
      <c r="G87" s="14" t="s">
        <v>30</v>
      </c>
      <c r="H87" s="14" t="s">
        <v>64</v>
      </c>
      <c r="I87" s="14" t="s">
        <v>52</v>
      </c>
      <c r="J87" s="16">
        <v>13850</v>
      </c>
      <c r="K87" s="14">
        <v>3680</v>
      </c>
    </row>
    <row r="88" spans="1:11" hidden="1" x14ac:dyDescent="0.15">
      <c r="A88" s="30"/>
      <c r="B88" s="30"/>
      <c r="C88" s="5"/>
      <c r="D88" s="17">
        <v>42065</v>
      </c>
      <c r="E88" s="9" t="s">
        <v>12</v>
      </c>
      <c r="F88" s="11" t="s">
        <v>57</v>
      </c>
      <c r="G88" s="10" t="s">
        <v>36</v>
      </c>
      <c r="H88" s="10" t="s">
        <v>41</v>
      </c>
      <c r="I88" s="10" t="s">
        <v>52</v>
      </c>
      <c r="J88" s="12">
        <v>10900</v>
      </c>
      <c r="K88" s="10">
        <v>5420</v>
      </c>
    </row>
    <row r="89" spans="1:11" hidden="1" x14ac:dyDescent="0.15">
      <c r="A89" s="30"/>
      <c r="B89" s="30"/>
      <c r="C89" s="5"/>
      <c r="D89" s="18">
        <v>42117</v>
      </c>
      <c r="E89" s="13" t="s">
        <v>22</v>
      </c>
      <c r="F89" s="15" t="s">
        <v>35</v>
      </c>
      <c r="G89" s="14" t="s">
        <v>36</v>
      </c>
      <c r="H89" s="14" t="s">
        <v>44</v>
      </c>
      <c r="I89" s="14" t="s">
        <v>52</v>
      </c>
      <c r="J89" s="16">
        <v>13200</v>
      </c>
      <c r="K89" s="14">
        <v>4960</v>
      </c>
    </row>
    <row r="90" spans="1:11" hidden="1" x14ac:dyDescent="0.15">
      <c r="A90" s="30"/>
      <c r="B90" s="30"/>
      <c r="C90" s="5"/>
      <c r="D90" s="17">
        <v>42288</v>
      </c>
      <c r="E90" s="9" t="s">
        <v>40</v>
      </c>
      <c r="F90" s="11" t="s">
        <v>35</v>
      </c>
      <c r="G90" s="10" t="s">
        <v>43</v>
      </c>
      <c r="H90" s="10" t="s">
        <v>25</v>
      </c>
      <c r="I90" s="10" t="s">
        <v>63</v>
      </c>
      <c r="J90" s="12">
        <v>10850</v>
      </c>
      <c r="K90" s="10">
        <v>4100</v>
      </c>
    </row>
    <row r="91" spans="1:11" hidden="1" x14ac:dyDescent="0.15">
      <c r="A91" s="30"/>
      <c r="B91" s="30"/>
      <c r="C91" s="5"/>
      <c r="D91" s="18">
        <v>42265</v>
      </c>
      <c r="E91" s="13" t="s">
        <v>29</v>
      </c>
      <c r="F91" s="15" t="s">
        <v>35</v>
      </c>
      <c r="G91" s="14" t="s">
        <v>24</v>
      </c>
      <c r="H91" s="14" t="s">
        <v>44</v>
      </c>
      <c r="I91" s="14" t="s">
        <v>63</v>
      </c>
      <c r="J91" s="16">
        <v>10700</v>
      </c>
      <c r="K91" s="14">
        <v>5520</v>
      </c>
    </row>
    <row r="92" spans="1:11" hidden="1" x14ac:dyDescent="0.15">
      <c r="A92" s="30"/>
      <c r="B92" s="30"/>
      <c r="C92" s="5"/>
      <c r="D92" s="17">
        <v>42265</v>
      </c>
      <c r="E92" s="9" t="s">
        <v>29</v>
      </c>
      <c r="F92" s="11" t="s">
        <v>35</v>
      </c>
      <c r="G92" s="10" t="s">
        <v>60</v>
      </c>
      <c r="H92" s="10" t="s">
        <v>41</v>
      </c>
      <c r="I92" s="10" t="s">
        <v>52</v>
      </c>
      <c r="J92" s="12">
        <v>11400</v>
      </c>
      <c r="K92" s="10">
        <v>2080</v>
      </c>
    </row>
    <row r="93" spans="1:11" hidden="1" x14ac:dyDescent="0.15">
      <c r="A93" s="30"/>
      <c r="B93" s="30"/>
      <c r="C93" s="5"/>
      <c r="D93" s="18">
        <v>42298</v>
      </c>
      <c r="E93" s="13" t="s">
        <v>40</v>
      </c>
      <c r="F93" s="15" t="s">
        <v>35</v>
      </c>
      <c r="G93" s="14" t="s">
        <v>51</v>
      </c>
      <c r="H93" s="14" t="s">
        <v>42</v>
      </c>
      <c r="I93" s="14" t="s">
        <v>52</v>
      </c>
      <c r="J93" s="16">
        <v>11600</v>
      </c>
      <c r="K93" s="14">
        <v>3500</v>
      </c>
    </row>
    <row r="94" spans="1:11" hidden="1" x14ac:dyDescent="0.15">
      <c r="A94" s="30"/>
      <c r="B94" s="30"/>
      <c r="C94" s="5"/>
      <c r="D94" s="17">
        <v>42102</v>
      </c>
      <c r="E94" s="9" t="s">
        <v>22</v>
      </c>
      <c r="F94" s="11" t="s">
        <v>35</v>
      </c>
      <c r="G94" s="10" t="s">
        <v>36</v>
      </c>
      <c r="H94" s="10" t="s">
        <v>44</v>
      </c>
      <c r="I94" s="10" t="s">
        <v>52</v>
      </c>
      <c r="J94" s="12">
        <v>14000</v>
      </c>
      <c r="K94" s="10">
        <v>2060</v>
      </c>
    </row>
    <row r="95" spans="1:11" hidden="1" x14ac:dyDescent="0.15">
      <c r="A95" s="30"/>
      <c r="B95" s="30"/>
      <c r="C95" s="5"/>
      <c r="D95" s="18">
        <v>42096</v>
      </c>
      <c r="E95" s="13" t="s">
        <v>22</v>
      </c>
      <c r="F95" s="15" t="s">
        <v>35</v>
      </c>
      <c r="G95" s="14" t="s">
        <v>43</v>
      </c>
      <c r="H95" s="14" t="s">
        <v>44</v>
      </c>
      <c r="I95" s="14" t="s">
        <v>45</v>
      </c>
      <c r="J95" s="16">
        <v>14300</v>
      </c>
      <c r="K95" s="14">
        <v>2420</v>
      </c>
    </row>
    <row r="96" spans="1:11" hidden="1" x14ac:dyDescent="0.15">
      <c r="A96" s="30"/>
      <c r="B96" s="30"/>
      <c r="C96" s="5"/>
      <c r="D96" s="17">
        <v>42021</v>
      </c>
      <c r="E96" s="9" t="s">
        <v>7</v>
      </c>
      <c r="F96" s="11" t="s">
        <v>57</v>
      </c>
      <c r="G96" s="10" t="s">
        <v>24</v>
      </c>
      <c r="H96" s="10" t="s">
        <v>25</v>
      </c>
      <c r="I96" s="10" t="s">
        <v>45</v>
      </c>
      <c r="J96" s="12">
        <v>12350</v>
      </c>
      <c r="K96" s="10">
        <v>3220</v>
      </c>
    </row>
    <row r="97" spans="1:11" hidden="1" x14ac:dyDescent="0.15">
      <c r="A97" s="30"/>
      <c r="B97" s="30"/>
      <c r="C97" s="5"/>
      <c r="D97" s="18">
        <v>42029</v>
      </c>
      <c r="E97" s="13" t="s">
        <v>7</v>
      </c>
      <c r="F97" s="15" t="s">
        <v>57</v>
      </c>
      <c r="G97" s="14" t="s">
        <v>36</v>
      </c>
      <c r="H97" s="14" t="s">
        <v>37</v>
      </c>
      <c r="I97" s="14" t="s">
        <v>45</v>
      </c>
      <c r="J97" s="16">
        <v>12300</v>
      </c>
      <c r="K97" s="14">
        <v>3620</v>
      </c>
    </row>
    <row r="98" spans="1:11" hidden="1" x14ac:dyDescent="0.15">
      <c r="A98" s="30"/>
      <c r="B98" s="30"/>
      <c r="C98" s="5"/>
      <c r="D98" s="17">
        <v>42181</v>
      </c>
      <c r="E98" s="9" t="s">
        <v>62</v>
      </c>
      <c r="F98" s="11" t="s">
        <v>35</v>
      </c>
      <c r="G98" s="10" t="s">
        <v>19</v>
      </c>
      <c r="H98" s="10" t="s">
        <v>66</v>
      </c>
      <c r="I98" s="10" t="s">
        <v>45</v>
      </c>
      <c r="J98" s="12">
        <v>10400</v>
      </c>
      <c r="K98" s="10">
        <v>3420</v>
      </c>
    </row>
    <row r="99" spans="1:11" hidden="1" x14ac:dyDescent="0.15">
      <c r="A99" s="30"/>
      <c r="B99" s="30"/>
      <c r="C99" s="5"/>
      <c r="D99" s="18">
        <v>42100</v>
      </c>
      <c r="E99" s="13" t="s">
        <v>22</v>
      </c>
      <c r="F99" s="15" t="s">
        <v>35</v>
      </c>
      <c r="G99" s="14" t="s">
        <v>60</v>
      </c>
      <c r="H99" s="14" t="s">
        <v>25</v>
      </c>
      <c r="I99" s="14" t="s">
        <v>15</v>
      </c>
      <c r="J99" s="16">
        <v>11950</v>
      </c>
      <c r="K99" s="14">
        <v>3540</v>
      </c>
    </row>
    <row r="100" spans="1:11" hidden="1" x14ac:dyDescent="0.15">
      <c r="A100" s="30"/>
      <c r="B100" s="30"/>
      <c r="C100" s="5"/>
      <c r="D100" s="17">
        <v>42231</v>
      </c>
      <c r="E100" s="9" t="s">
        <v>33</v>
      </c>
      <c r="F100" s="11" t="s">
        <v>35</v>
      </c>
      <c r="G100" s="10" t="s">
        <v>24</v>
      </c>
      <c r="H100" s="10" t="s">
        <v>44</v>
      </c>
      <c r="I100" s="10" t="s">
        <v>15</v>
      </c>
      <c r="J100" s="12">
        <v>11250</v>
      </c>
      <c r="K100" s="10">
        <v>2120</v>
      </c>
    </row>
    <row r="101" spans="1:11" hidden="1" x14ac:dyDescent="0.15">
      <c r="A101" s="30"/>
      <c r="B101" s="30"/>
      <c r="C101" s="5"/>
      <c r="D101" s="18">
        <v>42206</v>
      </c>
      <c r="E101" s="13" t="s">
        <v>26</v>
      </c>
      <c r="F101" s="15" t="s">
        <v>35</v>
      </c>
      <c r="G101" s="14" t="s">
        <v>19</v>
      </c>
      <c r="H101" s="14" t="s">
        <v>20</v>
      </c>
      <c r="I101" s="14" t="s">
        <v>15</v>
      </c>
      <c r="J101" s="16">
        <v>13450</v>
      </c>
      <c r="K101" s="14">
        <v>4960</v>
      </c>
    </row>
    <row r="102" spans="1:11" hidden="1" x14ac:dyDescent="0.15">
      <c r="A102" s="30"/>
      <c r="B102" s="30"/>
      <c r="C102" s="5"/>
      <c r="D102" s="17">
        <v>42201</v>
      </c>
      <c r="E102" s="9" t="s">
        <v>26</v>
      </c>
      <c r="F102" s="11" t="s">
        <v>35</v>
      </c>
      <c r="G102" s="10" t="s">
        <v>36</v>
      </c>
      <c r="H102" s="10" t="s">
        <v>44</v>
      </c>
      <c r="I102" s="10" t="s">
        <v>15</v>
      </c>
      <c r="J102" s="12">
        <v>14500</v>
      </c>
      <c r="K102" s="10">
        <v>2240</v>
      </c>
    </row>
    <row r="103" spans="1:11" hidden="1" x14ac:dyDescent="0.15">
      <c r="A103" s="30"/>
      <c r="B103" s="30"/>
      <c r="C103" s="5"/>
      <c r="D103" s="18">
        <v>42005</v>
      </c>
      <c r="E103" s="13" t="s">
        <v>7</v>
      </c>
      <c r="F103" s="15" t="s">
        <v>57</v>
      </c>
      <c r="G103" s="14" t="s">
        <v>50</v>
      </c>
      <c r="H103" s="14" t="s">
        <v>25</v>
      </c>
      <c r="I103" s="14" t="s">
        <v>15</v>
      </c>
      <c r="J103" s="16">
        <v>10450</v>
      </c>
      <c r="K103" s="14">
        <v>5460</v>
      </c>
    </row>
    <row r="104" spans="1:11" hidden="1" x14ac:dyDescent="0.15">
      <c r="A104" s="30"/>
      <c r="B104" s="30"/>
      <c r="C104" s="5"/>
      <c r="D104" s="17">
        <v>42046</v>
      </c>
      <c r="E104" s="9" t="s">
        <v>18</v>
      </c>
      <c r="F104" s="11" t="s">
        <v>57</v>
      </c>
      <c r="G104" s="10" t="s">
        <v>19</v>
      </c>
      <c r="H104" s="10" t="s">
        <v>66</v>
      </c>
      <c r="I104" s="10" t="s">
        <v>15</v>
      </c>
      <c r="J104" s="12">
        <v>13650</v>
      </c>
      <c r="K104" s="10">
        <v>2100</v>
      </c>
    </row>
    <row r="105" spans="1:11" hidden="1" x14ac:dyDescent="0.15">
      <c r="A105" s="30"/>
      <c r="B105" s="30"/>
      <c r="C105" s="5"/>
      <c r="D105" s="18">
        <v>42062</v>
      </c>
      <c r="E105" s="13" t="s">
        <v>18</v>
      </c>
      <c r="F105" s="15" t="s">
        <v>57</v>
      </c>
      <c r="G105" s="14" t="s">
        <v>50</v>
      </c>
      <c r="H105" s="14" t="s">
        <v>41</v>
      </c>
      <c r="I105" s="14" t="s">
        <v>15</v>
      </c>
      <c r="J105" s="16">
        <v>11750</v>
      </c>
      <c r="K105" s="14">
        <v>5340</v>
      </c>
    </row>
    <row r="106" spans="1:11" hidden="1" x14ac:dyDescent="0.15">
      <c r="A106" s="30"/>
      <c r="B106" s="30"/>
      <c r="C106" s="5"/>
      <c r="D106" s="17">
        <v>42364</v>
      </c>
      <c r="E106" s="9" t="s">
        <v>55</v>
      </c>
      <c r="F106" s="11" t="s">
        <v>35</v>
      </c>
      <c r="G106" s="10" t="s">
        <v>28</v>
      </c>
      <c r="H106" s="10" t="s">
        <v>10</v>
      </c>
      <c r="I106" s="10" t="s">
        <v>39</v>
      </c>
      <c r="J106" s="12">
        <v>13700</v>
      </c>
      <c r="K106" s="10">
        <v>2040</v>
      </c>
    </row>
    <row r="107" spans="1:11" hidden="1" x14ac:dyDescent="0.15">
      <c r="A107" s="30"/>
      <c r="B107" s="30"/>
      <c r="C107" s="5"/>
      <c r="D107" s="18">
        <v>42369</v>
      </c>
      <c r="E107" s="13" t="s">
        <v>55</v>
      </c>
      <c r="F107" s="15" t="s">
        <v>35</v>
      </c>
      <c r="G107" s="14" t="s">
        <v>36</v>
      </c>
      <c r="H107" s="14" t="s">
        <v>37</v>
      </c>
      <c r="I107" s="14" t="s">
        <v>39</v>
      </c>
      <c r="J107" s="16">
        <v>11900</v>
      </c>
      <c r="K107" s="14">
        <v>5700</v>
      </c>
    </row>
    <row r="108" spans="1:11" hidden="1" x14ac:dyDescent="0.15">
      <c r="A108" s="30"/>
      <c r="B108" s="30"/>
      <c r="C108" s="5"/>
      <c r="D108" s="17">
        <v>42073</v>
      </c>
      <c r="E108" s="9" t="s">
        <v>12</v>
      </c>
      <c r="F108" s="11" t="s">
        <v>57</v>
      </c>
      <c r="G108" s="10" t="s">
        <v>61</v>
      </c>
      <c r="H108" s="10" t="s">
        <v>65</v>
      </c>
      <c r="I108" s="10" t="s">
        <v>46</v>
      </c>
      <c r="J108" s="12">
        <v>11850</v>
      </c>
      <c r="K108" s="10">
        <v>5500</v>
      </c>
    </row>
    <row r="109" spans="1:11" hidden="1" x14ac:dyDescent="0.15">
      <c r="A109" s="30"/>
      <c r="B109" s="30"/>
      <c r="C109" s="5"/>
      <c r="D109" s="18">
        <v>42241</v>
      </c>
      <c r="E109" s="13" t="s">
        <v>33</v>
      </c>
      <c r="F109" s="15" t="s">
        <v>35</v>
      </c>
      <c r="G109" s="14" t="s">
        <v>9</v>
      </c>
      <c r="H109" s="14" t="s">
        <v>10</v>
      </c>
      <c r="I109" s="14" t="s">
        <v>48</v>
      </c>
      <c r="J109" s="16">
        <v>14700</v>
      </c>
      <c r="K109" s="14">
        <v>2460</v>
      </c>
    </row>
    <row r="110" spans="1:11" hidden="1" x14ac:dyDescent="0.15">
      <c r="A110" s="30"/>
      <c r="B110" s="30"/>
      <c r="C110" s="5"/>
      <c r="D110" s="17">
        <v>42206</v>
      </c>
      <c r="E110" s="9" t="s">
        <v>26</v>
      </c>
      <c r="F110" s="11" t="s">
        <v>35</v>
      </c>
      <c r="G110" s="10" t="s">
        <v>43</v>
      </c>
      <c r="H110" s="10" t="s">
        <v>44</v>
      </c>
      <c r="I110" s="10" t="s">
        <v>48</v>
      </c>
      <c r="J110" s="12">
        <v>13150</v>
      </c>
      <c r="K110" s="10">
        <v>3940</v>
      </c>
    </row>
    <row r="111" spans="1:11" hidden="1" x14ac:dyDescent="0.15">
      <c r="A111" s="30"/>
      <c r="B111" s="30"/>
      <c r="C111" s="5"/>
      <c r="D111" s="18">
        <v>42197</v>
      </c>
      <c r="E111" s="13" t="s">
        <v>26</v>
      </c>
      <c r="F111" s="15" t="s">
        <v>35</v>
      </c>
      <c r="G111" s="14" t="s">
        <v>36</v>
      </c>
      <c r="H111" s="14" t="s">
        <v>41</v>
      </c>
      <c r="I111" s="14" t="s">
        <v>52</v>
      </c>
      <c r="J111" s="16">
        <v>13750</v>
      </c>
      <c r="K111" s="14">
        <v>3280</v>
      </c>
    </row>
    <row r="112" spans="1:11" hidden="1" x14ac:dyDescent="0.15">
      <c r="A112" s="30"/>
      <c r="B112" s="30"/>
      <c r="C112" s="5"/>
      <c r="D112" s="17">
        <v>42082</v>
      </c>
      <c r="E112" s="9" t="s">
        <v>12</v>
      </c>
      <c r="F112" s="11" t="s">
        <v>57</v>
      </c>
      <c r="G112" s="10" t="s">
        <v>36</v>
      </c>
      <c r="H112" s="10" t="s">
        <v>41</v>
      </c>
      <c r="I112" s="10" t="s">
        <v>46</v>
      </c>
      <c r="J112" s="12">
        <v>11350</v>
      </c>
      <c r="K112" s="10">
        <v>5300</v>
      </c>
    </row>
    <row r="113" spans="1:11" hidden="1" x14ac:dyDescent="0.15">
      <c r="A113" s="30"/>
      <c r="B113" s="30"/>
      <c r="C113" s="5"/>
      <c r="D113" s="18">
        <v>42107</v>
      </c>
      <c r="E113" s="13" t="s">
        <v>22</v>
      </c>
      <c r="F113" s="15" t="s">
        <v>35</v>
      </c>
      <c r="G113" s="14" t="s">
        <v>24</v>
      </c>
      <c r="H113" s="14" t="s">
        <v>38</v>
      </c>
      <c r="I113" s="14" t="s">
        <v>17</v>
      </c>
      <c r="J113" s="16">
        <v>11200</v>
      </c>
      <c r="K113" s="14">
        <v>4820</v>
      </c>
    </row>
    <row r="114" spans="1:11" hidden="1" x14ac:dyDescent="0.15">
      <c r="A114" s="30"/>
      <c r="B114" s="30"/>
      <c r="C114" s="5"/>
      <c r="D114" s="17">
        <v>42086</v>
      </c>
      <c r="E114" s="9" t="s">
        <v>12</v>
      </c>
      <c r="F114" s="11" t="s">
        <v>57</v>
      </c>
      <c r="G114" s="10" t="s">
        <v>61</v>
      </c>
      <c r="H114" s="10" t="s">
        <v>41</v>
      </c>
      <c r="I114" s="10" t="s">
        <v>17</v>
      </c>
      <c r="J114" s="12">
        <v>12150</v>
      </c>
      <c r="K114" s="10">
        <v>2380</v>
      </c>
    </row>
    <row r="115" spans="1:11" hidden="1" x14ac:dyDescent="0.15">
      <c r="A115" s="30"/>
      <c r="B115" s="30"/>
      <c r="C115" s="5"/>
      <c r="D115" s="18">
        <v>42224</v>
      </c>
      <c r="E115" s="13" t="s">
        <v>33</v>
      </c>
      <c r="F115" s="15" t="s">
        <v>35</v>
      </c>
      <c r="G115" s="14" t="s">
        <v>19</v>
      </c>
      <c r="H115" s="14" t="s">
        <v>56</v>
      </c>
      <c r="I115" s="14" t="s">
        <v>46</v>
      </c>
      <c r="J115" s="16">
        <v>12050</v>
      </c>
      <c r="K115" s="14">
        <v>5080</v>
      </c>
    </row>
    <row r="116" spans="1:11" hidden="1" x14ac:dyDescent="0.15">
      <c r="A116" s="30"/>
      <c r="B116" s="30"/>
      <c r="C116" s="5"/>
      <c r="D116" s="17">
        <v>42128</v>
      </c>
      <c r="E116" s="9" t="s">
        <v>53</v>
      </c>
      <c r="F116" s="11" t="s">
        <v>35</v>
      </c>
      <c r="G116" s="10" t="s">
        <v>47</v>
      </c>
      <c r="H116" s="10" t="s">
        <v>59</v>
      </c>
      <c r="I116" s="10" t="s">
        <v>15</v>
      </c>
      <c r="J116" s="12">
        <v>13750</v>
      </c>
      <c r="K116" s="10">
        <v>4880</v>
      </c>
    </row>
    <row r="117" spans="1:11" hidden="1" x14ac:dyDescent="0.15">
      <c r="A117" s="30"/>
      <c r="B117" s="30"/>
      <c r="C117" s="5"/>
      <c r="D117" s="18">
        <v>42149</v>
      </c>
      <c r="E117" s="13" t="s">
        <v>53</v>
      </c>
      <c r="F117" s="15" t="s">
        <v>35</v>
      </c>
      <c r="G117" s="14" t="s">
        <v>19</v>
      </c>
      <c r="H117" s="14" t="s">
        <v>68</v>
      </c>
      <c r="I117" s="14" t="s">
        <v>15</v>
      </c>
      <c r="J117" s="16">
        <v>14550</v>
      </c>
      <c r="K117" s="14">
        <v>4500</v>
      </c>
    </row>
    <row r="118" spans="1:11" hidden="1" x14ac:dyDescent="0.15">
      <c r="A118" s="30"/>
      <c r="B118" s="30"/>
      <c r="C118" s="5"/>
      <c r="D118" s="17">
        <v>42364</v>
      </c>
      <c r="E118" s="9" t="s">
        <v>55</v>
      </c>
      <c r="F118" s="11" t="s">
        <v>35</v>
      </c>
      <c r="G118" s="10" t="s">
        <v>24</v>
      </c>
      <c r="H118" s="10" t="s">
        <v>37</v>
      </c>
      <c r="I118" s="10" t="s">
        <v>46</v>
      </c>
      <c r="J118" s="12">
        <v>13150</v>
      </c>
      <c r="K118" s="10">
        <v>4680</v>
      </c>
    </row>
    <row r="119" spans="1:11" hidden="1" x14ac:dyDescent="0.15">
      <c r="A119" s="30"/>
      <c r="B119" s="30"/>
      <c r="C119" s="5"/>
      <c r="D119" s="18">
        <v>42103</v>
      </c>
      <c r="E119" s="13" t="s">
        <v>22</v>
      </c>
      <c r="F119" s="15" t="s">
        <v>35</v>
      </c>
      <c r="G119" s="14" t="s">
        <v>9</v>
      </c>
      <c r="H119" s="14" t="s">
        <v>59</v>
      </c>
      <c r="I119" s="14" t="s">
        <v>46</v>
      </c>
      <c r="J119" s="16">
        <v>14950</v>
      </c>
      <c r="K119" s="14">
        <v>4400</v>
      </c>
    </row>
    <row r="120" spans="1:11" hidden="1" x14ac:dyDescent="0.15">
      <c r="A120" s="30"/>
      <c r="B120" s="30"/>
      <c r="C120" s="5"/>
      <c r="D120" s="17">
        <v>42237</v>
      </c>
      <c r="E120" s="9" t="s">
        <v>33</v>
      </c>
      <c r="F120" s="11" t="s">
        <v>35</v>
      </c>
      <c r="G120" s="10" t="s">
        <v>47</v>
      </c>
      <c r="H120" s="10" t="s">
        <v>34</v>
      </c>
      <c r="I120" s="10" t="s">
        <v>48</v>
      </c>
      <c r="J120" s="12">
        <v>10900</v>
      </c>
      <c r="K120" s="10">
        <v>5180</v>
      </c>
    </row>
    <row r="121" spans="1:11" hidden="1" x14ac:dyDescent="0.15">
      <c r="A121" s="30"/>
      <c r="B121" s="30"/>
      <c r="C121" s="5"/>
      <c r="D121" s="18">
        <v>42180</v>
      </c>
      <c r="E121" s="13" t="s">
        <v>62</v>
      </c>
      <c r="F121" s="15" t="s">
        <v>35</v>
      </c>
      <c r="G121" s="14" t="s">
        <v>13</v>
      </c>
      <c r="H121" s="14" t="s">
        <v>42</v>
      </c>
      <c r="I121" s="14" t="s">
        <v>15</v>
      </c>
      <c r="J121" s="16">
        <v>10550</v>
      </c>
      <c r="K121" s="14">
        <v>2680</v>
      </c>
    </row>
    <row r="122" spans="1:11" hidden="1" x14ac:dyDescent="0.15">
      <c r="A122" s="30"/>
      <c r="B122" s="30"/>
      <c r="C122" s="5"/>
      <c r="D122" s="17">
        <v>42332</v>
      </c>
      <c r="E122" s="9" t="s">
        <v>49</v>
      </c>
      <c r="F122" s="11" t="s">
        <v>35</v>
      </c>
      <c r="G122" s="10" t="s">
        <v>50</v>
      </c>
      <c r="H122" s="10" t="s">
        <v>25</v>
      </c>
      <c r="I122" s="10" t="s">
        <v>15</v>
      </c>
      <c r="J122" s="12">
        <v>11100</v>
      </c>
      <c r="K122" s="10">
        <v>5420</v>
      </c>
    </row>
    <row r="123" spans="1:11" hidden="1" x14ac:dyDescent="0.15">
      <c r="A123" s="30"/>
      <c r="B123" s="30"/>
      <c r="C123" s="5"/>
      <c r="D123" s="18">
        <v>42309</v>
      </c>
      <c r="E123" s="13" t="s">
        <v>49</v>
      </c>
      <c r="F123" s="15" t="s">
        <v>35</v>
      </c>
      <c r="G123" s="14" t="s">
        <v>19</v>
      </c>
      <c r="H123" s="14" t="s">
        <v>20</v>
      </c>
      <c r="I123" s="14" t="s">
        <v>52</v>
      </c>
      <c r="J123" s="16">
        <v>12050</v>
      </c>
      <c r="K123" s="14">
        <v>3360</v>
      </c>
    </row>
    <row r="124" spans="1:11" hidden="1" x14ac:dyDescent="0.15">
      <c r="A124" s="30"/>
      <c r="B124" s="30"/>
      <c r="C124" s="5"/>
      <c r="D124" s="17">
        <v>42251</v>
      </c>
      <c r="E124" s="9" t="s">
        <v>29</v>
      </c>
      <c r="F124" s="11" t="s">
        <v>35</v>
      </c>
      <c r="G124" s="10" t="s">
        <v>28</v>
      </c>
      <c r="H124" s="10" t="s">
        <v>59</v>
      </c>
      <c r="I124" s="10" t="s">
        <v>63</v>
      </c>
      <c r="J124" s="12">
        <v>10900</v>
      </c>
      <c r="K124" s="10">
        <v>4720</v>
      </c>
    </row>
    <row r="125" spans="1:11" hidden="1" x14ac:dyDescent="0.15">
      <c r="A125" s="30"/>
      <c r="B125" s="30"/>
      <c r="C125" s="5"/>
      <c r="D125" s="18">
        <v>42263</v>
      </c>
      <c r="E125" s="13" t="s">
        <v>29</v>
      </c>
      <c r="F125" s="15" t="s">
        <v>35</v>
      </c>
      <c r="G125" s="14" t="s">
        <v>43</v>
      </c>
      <c r="H125" s="14" t="s">
        <v>37</v>
      </c>
      <c r="I125" s="14" t="s">
        <v>63</v>
      </c>
      <c r="J125" s="16">
        <v>10050</v>
      </c>
      <c r="K125" s="14">
        <v>2560</v>
      </c>
    </row>
    <row r="126" spans="1:11" hidden="1" x14ac:dyDescent="0.15">
      <c r="A126" s="30"/>
      <c r="B126" s="30"/>
      <c r="C126" s="5"/>
      <c r="D126" s="17">
        <v>42297</v>
      </c>
      <c r="E126" s="9" t="s">
        <v>40</v>
      </c>
      <c r="F126" s="11" t="s">
        <v>35</v>
      </c>
      <c r="G126" s="10" t="s">
        <v>60</v>
      </c>
      <c r="H126" s="10" t="s">
        <v>10</v>
      </c>
      <c r="I126" s="10" t="s">
        <v>39</v>
      </c>
      <c r="J126" s="12">
        <v>14550</v>
      </c>
      <c r="K126" s="10">
        <v>2720</v>
      </c>
    </row>
    <row r="127" spans="1:11" hidden="1" x14ac:dyDescent="0.15">
      <c r="A127" s="30"/>
      <c r="B127" s="30"/>
      <c r="C127" s="5"/>
      <c r="D127" s="18">
        <v>42122</v>
      </c>
      <c r="E127" s="13" t="s">
        <v>22</v>
      </c>
      <c r="F127" s="15" t="s">
        <v>35</v>
      </c>
      <c r="G127" s="14" t="s">
        <v>30</v>
      </c>
      <c r="H127" s="14" t="s">
        <v>37</v>
      </c>
      <c r="I127" s="14" t="s">
        <v>46</v>
      </c>
      <c r="J127" s="16">
        <v>14000</v>
      </c>
      <c r="K127" s="14">
        <v>4420</v>
      </c>
    </row>
    <row r="128" spans="1:11" hidden="1" x14ac:dyDescent="0.15">
      <c r="A128" s="30"/>
      <c r="B128" s="30"/>
      <c r="C128" s="5"/>
      <c r="D128" s="17">
        <v>42100</v>
      </c>
      <c r="E128" s="9" t="s">
        <v>22</v>
      </c>
      <c r="F128" s="11" t="s">
        <v>35</v>
      </c>
      <c r="G128" s="10" t="s">
        <v>51</v>
      </c>
      <c r="H128" s="10" t="s">
        <v>41</v>
      </c>
      <c r="I128" s="10" t="s">
        <v>63</v>
      </c>
      <c r="J128" s="12">
        <v>14350</v>
      </c>
      <c r="K128" s="10">
        <v>2640</v>
      </c>
    </row>
    <row r="129" spans="1:11" hidden="1" x14ac:dyDescent="0.15">
      <c r="A129" s="30"/>
      <c r="B129" s="30"/>
      <c r="C129" s="5"/>
      <c r="D129" s="18">
        <v>42191</v>
      </c>
      <c r="E129" s="13" t="s">
        <v>26</v>
      </c>
      <c r="F129" s="15" t="s">
        <v>35</v>
      </c>
      <c r="G129" s="14" t="s">
        <v>13</v>
      </c>
      <c r="H129" s="14" t="s">
        <v>54</v>
      </c>
      <c r="I129" s="14" t="s">
        <v>52</v>
      </c>
      <c r="J129" s="16">
        <v>10600</v>
      </c>
      <c r="K129" s="14">
        <v>4900</v>
      </c>
    </row>
    <row r="130" spans="1:11" hidden="1" x14ac:dyDescent="0.15">
      <c r="A130" s="30"/>
      <c r="B130" s="30"/>
      <c r="C130" s="5"/>
      <c r="D130" s="17">
        <v>42367</v>
      </c>
      <c r="E130" s="9" t="s">
        <v>55</v>
      </c>
      <c r="F130" s="11" t="s">
        <v>35</v>
      </c>
      <c r="G130" s="10" t="s">
        <v>51</v>
      </c>
      <c r="H130" s="10" t="s">
        <v>42</v>
      </c>
      <c r="I130" s="10" t="s">
        <v>48</v>
      </c>
      <c r="J130" s="12">
        <v>12950</v>
      </c>
      <c r="K130" s="10">
        <v>5540</v>
      </c>
    </row>
    <row r="131" spans="1:11" hidden="1" x14ac:dyDescent="0.15">
      <c r="A131" s="30"/>
      <c r="B131" s="30"/>
      <c r="C131" s="5"/>
      <c r="D131" s="18">
        <v>42265</v>
      </c>
      <c r="E131" s="13" t="s">
        <v>29</v>
      </c>
      <c r="F131" s="15" t="s">
        <v>35</v>
      </c>
      <c r="G131" s="14" t="s">
        <v>24</v>
      </c>
      <c r="H131" s="14" t="s">
        <v>38</v>
      </c>
      <c r="I131" s="14" t="s">
        <v>63</v>
      </c>
      <c r="J131" s="16">
        <v>14650</v>
      </c>
      <c r="K131" s="14">
        <v>4440</v>
      </c>
    </row>
    <row r="132" spans="1:11" hidden="1" x14ac:dyDescent="0.15">
      <c r="A132" s="30"/>
      <c r="B132" s="30"/>
      <c r="C132" s="5"/>
      <c r="D132" s="17">
        <v>42326</v>
      </c>
      <c r="E132" s="9" t="s">
        <v>49</v>
      </c>
      <c r="F132" s="11" t="s">
        <v>35</v>
      </c>
      <c r="G132" s="10" t="s">
        <v>28</v>
      </c>
      <c r="H132" s="10" t="s">
        <v>58</v>
      </c>
      <c r="I132" s="10" t="s">
        <v>63</v>
      </c>
      <c r="J132" s="12">
        <v>15000</v>
      </c>
      <c r="K132" s="10">
        <v>4380</v>
      </c>
    </row>
    <row r="133" spans="1:11" hidden="1" x14ac:dyDescent="0.15">
      <c r="A133" s="30"/>
      <c r="B133" s="30"/>
      <c r="C133" s="5"/>
      <c r="D133" s="18">
        <v>42337</v>
      </c>
      <c r="E133" s="13" t="s">
        <v>49</v>
      </c>
      <c r="F133" s="15" t="s">
        <v>35</v>
      </c>
      <c r="G133" s="14" t="s">
        <v>9</v>
      </c>
      <c r="H133" s="14" t="s">
        <v>34</v>
      </c>
      <c r="I133" s="14" t="s">
        <v>52</v>
      </c>
      <c r="J133" s="16">
        <v>13050</v>
      </c>
      <c r="K133" s="14">
        <v>2120</v>
      </c>
    </row>
    <row r="134" spans="1:11" hidden="1" x14ac:dyDescent="0.15">
      <c r="A134" s="30"/>
      <c r="B134" s="30"/>
      <c r="C134" s="5"/>
      <c r="D134" s="17">
        <v>42326</v>
      </c>
      <c r="E134" s="9" t="s">
        <v>49</v>
      </c>
      <c r="F134" s="11" t="s">
        <v>35</v>
      </c>
      <c r="G134" s="10" t="s">
        <v>61</v>
      </c>
      <c r="H134" s="10" t="s">
        <v>65</v>
      </c>
      <c r="I134" s="10" t="s">
        <v>46</v>
      </c>
      <c r="J134" s="12">
        <v>13000</v>
      </c>
      <c r="K134" s="10">
        <v>2360</v>
      </c>
    </row>
    <row r="135" spans="1:11" hidden="1" x14ac:dyDescent="0.15">
      <c r="A135" s="30"/>
      <c r="B135" s="30"/>
      <c r="C135" s="5"/>
      <c r="D135" s="18">
        <v>42021</v>
      </c>
      <c r="E135" s="13" t="s">
        <v>7</v>
      </c>
      <c r="F135" s="15" t="s">
        <v>57</v>
      </c>
      <c r="G135" s="14" t="s">
        <v>9</v>
      </c>
      <c r="H135" s="14" t="s">
        <v>10</v>
      </c>
      <c r="I135" s="14" t="s">
        <v>48</v>
      </c>
      <c r="J135" s="16">
        <v>13300</v>
      </c>
      <c r="K135" s="14">
        <v>5100</v>
      </c>
    </row>
    <row r="136" spans="1:11" hidden="1" x14ac:dyDescent="0.15">
      <c r="A136" s="30"/>
      <c r="B136" s="30"/>
      <c r="C136" s="5"/>
      <c r="D136" s="17">
        <v>42024</v>
      </c>
      <c r="E136" s="9" t="s">
        <v>7</v>
      </c>
      <c r="F136" s="11" t="s">
        <v>57</v>
      </c>
      <c r="G136" s="10" t="s">
        <v>50</v>
      </c>
      <c r="H136" s="10" t="s">
        <v>41</v>
      </c>
      <c r="I136" s="10" t="s">
        <v>48</v>
      </c>
      <c r="J136" s="12">
        <v>12700</v>
      </c>
      <c r="K136" s="10">
        <v>5680</v>
      </c>
    </row>
    <row r="137" spans="1:11" hidden="1" x14ac:dyDescent="0.15">
      <c r="A137" s="30"/>
      <c r="B137" s="30"/>
      <c r="C137" s="5"/>
      <c r="D137" s="18">
        <v>42289</v>
      </c>
      <c r="E137" s="13" t="s">
        <v>40</v>
      </c>
      <c r="F137" s="15" t="s">
        <v>35</v>
      </c>
      <c r="G137" s="14" t="s">
        <v>19</v>
      </c>
      <c r="H137" s="14" t="s">
        <v>68</v>
      </c>
      <c r="I137" s="14" t="s">
        <v>45</v>
      </c>
      <c r="J137" s="16">
        <v>14600</v>
      </c>
      <c r="K137" s="14">
        <v>2100</v>
      </c>
    </row>
    <row r="138" spans="1:11" hidden="1" x14ac:dyDescent="0.15">
      <c r="A138" s="30"/>
      <c r="B138" s="30"/>
      <c r="C138" s="5"/>
      <c r="D138" s="17">
        <v>42289</v>
      </c>
      <c r="E138" s="9" t="s">
        <v>40</v>
      </c>
      <c r="F138" s="11" t="s">
        <v>35</v>
      </c>
      <c r="G138" s="10" t="s">
        <v>51</v>
      </c>
      <c r="H138" s="10" t="s">
        <v>25</v>
      </c>
      <c r="I138" s="10" t="s">
        <v>45</v>
      </c>
      <c r="J138" s="12">
        <v>12700</v>
      </c>
      <c r="K138" s="10">
        <v>3020</v>
      </c>
    </row>
    <row r="139" spans="1:11" hidden="1" x14ac:dyDescent="0.15">
      <c r="A139" s="30"/>
      <c r="B139" s="30"/>
      <c r="C139" s="5"/>
      <c r="D139" s="18">
        <v>42064</v>
      </c>
      <c r="E139" s="13" t="s">
        <v>12</v>
      </c>
      <c r="F139" s="15" t="s">
        <v>57</v>
      </c>
      <c r="G139" s="14" t="s">
        <v>61</v>
      </c>
      <c r="H139" s="14" t="s">
        <v>67</v>
      </c>
      <c r="I139" s="14" t="s">
        <v>15</v>
      </c>
      <c r="J139" s="16">
        <v>12300</v>
      </c>
      <c r="K139" s="14">
        <v>3120</v>
      </c>
    </row>
    <row r="140" spans="1:11" hidden="1" x14ac:dyDescent="0.15">
      <c r="A140" s="30"/>
      <c r="B140" s="30"/>
      <c r="C140" s="5"/>
      <c r="D140" s="17">
        <v>42221</v>
      </c>
      <c r="E140" s="9" t="s">
        <v>33</v>
      </c>
      <c r="F140" s="11" t="s">
        <v>35</v>
      </c>
      <c r="G140" s="10" t="s">
        <v>19</v>
      </c>
      <c r="H140" s="10" t="s">
        <v>56</v>
      </c>
      <c r="I140" s="10" t="s">
        <v>15</v>
      </c>
      <c r="J140" s="12">
        <v>10900</v>
      </c>
      <c r="K140" s="10">
        <v>2120</v>
      </c>
    </row>
    <row r="141" spans="1:11" hidden="1" x14ac:dyDescent="0.15">
      <c r="A141" s="30"/>
      <c r="B141" s="30"/>
      <c r="C141" s="5"/>
      <c r="D141" s="18">
        <v>42207</v>
      </c>
      <c r="E141" s="13" t="s">
        <v>26</v>
      </c>
      <c r="F141" s="15" t="s">
        <v>35</v>
      </c>
      <c r="G141" s="14" t="s">
        <v>24</v>
      </c>
      <c r="H141" s="14" t="s">
        <v>25</v>
      </c>
      <c r="I141" s="14" t="s">
        <v>15</v>
      </c>
      <c r="J141" s="16">
        <v>13600</v>
      </c>
      <c r="K141" s="14">
        <v>3920</v>
      </c>
    </row>
    <row r="142" spans="1:11" hidden="1" x14ac:dyDescent="0.15">
      <c r="A142" s="30"/>
      <c r="B142" s="30"/>
      <c r="C142" s="5"/>
      <c r="D142" s="17">
        <v>42096</v>
      </c>
      <c r="E142" s="9" t="s">
        <v>22</v>
      </c>
      <c r="F142" s="11" t="s">
        <v>35</v>
      </c>
      <c r="G142" s="10" t="s">
        <v>24</v>
      </c>
      <c r="H142" s="10" t="s">
        <v>44</v>
      </c>
      <c r="I142" s="10" t="s">
        <v>17</v>
      </c>
      <c r="J142" s="12">
        <v>13750</v>
      </c>
      <c r="K142" s="10">
        <v>5500</v>
      </c>
    </row>
    <row r="143" spans="1:11" hidden="1" x14ac:dyDescent="0.15">
      <c r="A143" s="30"/>
      <c r="B143" s="30"/>
      <c r="C143" s="5"/>
      <c r="D143" s="18">
        <v>42251</v>
      </c>
      <c r="E143" s="13" t="s">
        <v>29</v>
      </c>
      <c r="F143" s="15" t="s">
        <v>35</v>
      </c>
      <c r="G143" s="14" t="s">
        <v>19</v>
      </c>
      <c r="H143" s="14" t="s">
        <v>68</v>
      </c>
      <c r="I143" s="14" t="s">
        <v>17</v>
      </c>
      <c r="J143" s="16">
        <v>12600</v>
      </c>
      <c r="K143" s="14">
        <v>5500</v>
      </c>
    </row>
    <row r="144" spans="1:11" hidden="1" x14ac:dyDescent="0.15">
      <c r="A144" s="30"/>
      <c r="B144" s="30"/>
      <c r="C144" s="5"/>
      <c r="D144" s="17">
        <v>42181</v>
      </c>
      <c r="E144" s="9" t="s">
        <v>62</v>
      </c>
      <c r="F144" s="11" t="s">
        <v>35</v>
      </c>
      <c r="G144" s="10" t="s">
        <v>43</v>
      </c>
      <c r="H144" s="10" t="s">
        <v>44</v>
      </c>
      <c r="I144" s="10" t="s">
        <v>63</v>
      </c>
      <c r="J144" s="12">
        <v>12250</v>
      </c>
      <c r="K144" s="10">
        <v>5560</v>
      </c>
    </row>
    <row r="145" spans="1:11" hidden="1" x14ac:dyDescent="0.15">
      <c r="A145" s="30"/>
      <c r="B145" s="30"/>
      <c r="C145" s="5"/>
      <c r="D145" s="18">
        <v>42217</v>
      </c>
      <c r="E145" s="13" t="s">
        <v>33</v>
      </c>
      <c r="F145" s="15" t="s">
        <v>35</v>
      </c>
      <c r="G145" s="14" t="s">
        <v>13</v>
      </c>
      <c r="H145" s="14" t="s">
        <v>14</v>
      </c>
      <c r="I145" s="14" t="s">
        <v>17</v>
      </c>
      <c r="J145" s="16">
        <v>11850</v>
      </c>
      <c r="K145" s="14">
        <v>4540</v>
      </c>
    </row>
    <row r="146" spans="1:11" hidden="1" x14ac:dyDescent="0.15">
      <c r="A146" s="30"/>
      <c r="B146" s="30"/>
      <c r="C146" s="5"/>
      <c r="D146" s="17">
        <v>42082</v>
      </c>
      <c r="E146" s="9" t="s">
        <v>12</v>
      </c>
      <c r="F146" s="11" t="s">
        <v>57</v>
      </c>
      <c r="G146" s="10" t="s">
        <v>61</v>
      </c>
      <c r="H146" s="10" t="s">
        <v>65</v>
      </c>
      <c r="I146" s="10" t="s">
        <v>45</v>
      </c>
      <c r="J146" s="12">
        <v>11150</v>
      </c>
      <c r="K146" s="10">
        <v>4360</v>
      </c>
    </row>
    <row r="147" spans="1:11" hidden="1" x14ac:dyDescent="0.15">
      <c r="A147" s="30"/>
      <c r="B147" s="30"/>
      <c r="C147" s="5"/>
      <c r="D147" s="18">
        <v>42259</v>
      </c>
      <c r="E147" s="13" t="s">
        <v>29</v>
      </c>
      <c r="F147" s="15" t="s">
        <v>35</v>
      </c>
      <c r="G147" s="14" t="s">
        <v>60</v>
      </c>
      <c r="H147" s="14" t="s">
        <v>10</v>
      </c>
      <c r="I147" s="14" t="s">
        <v>52</v>
      </c>
      <c r="J147" s="16">
        <v>10600</v>
      </c>
      <c r="K147" s="14">
        <v>4860</v>
      </c>
    </row>
    <row r="148" spans="1:11" hidden="1" x14ac:dyDescent="0.15">
      <c r="A148" s="30"/>
      <c r="B148" s="30"/>
      <c r="C148" s="5"/>
      <c r="D148" s="17">
        <v>42194</v>
      </c>
      <c r="E148" s="9" t="s">
        <v>26</v>
      </c>
      <c r="F148" s="11" t="s">
        <v>35</v>
      </c>
      <c r="G148" s="10" t="s">
        <v>28</v>
      </c>
      <c r="H148" s="10" t="s">
        <v>10</v>
      </c>
      <c r="I148" s="10" t="s">
        <v>63</v>
      </c>
      <c r="J148" s="12">
        <v>10150</v>
      </c>
      <c r="K148" s="10">
        <v>3880</v>
      </c>
    </row>
    <row r="149" spans="1:11" hidden="1" x14ac:dyDescent="0.15">
      <c r="A149" s="30"/>
      <c r="B149" s="30"/>
      <c r="C149" s="5"/>
      <c r="D149" s="18">
        <v>42250</v>
      </c>
      <c r="E149" s="13" t="s">
        <v>29</v>
      </c>
      <c r="F149" s="15" t="s">
        <v>35</v>
      </c>
      <c r="G149" s="14" t="s">
        <v>36</v>
      </c>
      <c r="H149" s="14" t="s">
        <v>37</v>
      </c>
      <c r="I149" s="14" t="s">
        <v>39</v>
      </c>
      <c r="J149" s="16">
        <v>11750</v>
      </c>
      <c r="K149" s="14">
        <v>2400</v>
      </c>
    </row>
    <row r="150" spans="1:11" hidden="1" x14ac:dyDescent="0.15">
      <c r="A150" s="30"/>
      <c r="B150" s="30"/>
      <c r="C150" s="5"/>
      <c r="D150" s="17">
        <v>42193</v>
      </c>
      <c r="E150" s="9" t="s">
        <v>26</v>
      </c>
      <c r="F150" s="11" t="s">
        <v>35</v>
      </c>
      <c r="G150" s="10" t="s">
        <v>51</v>
      </c>
      <c r="H150" s="10" t="s">
        <v>41</v>
      </c>
      <c r="I150" s="10" t="s">
        <v>46</v>
      </c>
      <c r="J150" s="12">
        <v>13750</v>
      </c>
      <c r="K150" s="10">
        <v>3540</v>
      </c>
    </row>
    <row r="151" spans="1:11" hidden="1" x14ac:dyDescent="0.15">
      <c r="A151" s="30"/>
      <c r="B151" s="30"/>
      <c r="C151" s="5"/>
      <c r="D151" s="18">
        <v>42287</v>
      </c>
      <c r="E151" s="13" t="s">
        <v>40</v>
      </c>
      <c r="F151" s="15" t="s">
        <v>35</v>
      </c>
      <c r="G151" s="14" t="s">
        <v>43</v>
      </c>
      <c r="H151" s="14" t="s">
        <v>37</v>
      </c>
      <c r="I151" s="14" t="s">
        <v>46</v>
      </c>
      <c r="J151" s="16">
        <v>11050</v>
      </c>
      <c r="K151" s="14">
        <v>3340</v>
      </c>
    </row>
    <row r="152" spans="1:11" hidden="1" x14ac:dyDescent="0.15">
      <c r="A152" s="30"/>
      <c r="B152" s="30"/>
      <c r="C152" s="5"/>
      <c r="D152" s="17">
        <v>42092</v>
      </c>
      <c r="E152" s="9" t="s">
        <v>12</v>
      </c>
      <c r="F152" s="11" t="s">
        <v>57</v>
      </c>
      <c r="G152" s="10" t="s">
        <v>61</v>
      </c>
      <c r="H152" s="10" t="s">
        <v>67</v>
      </c>
      <c r="I152" s="10" t="s">
        <v>46</v>
      </c>
      <c r="J152" s="12">
        <v>10800</v>
      </c>
      <c r="K152" s="10">
        <v>2060</v>
      </c>
    </row>
    <row r="153" spans="1:11" hidden="1" x14ac:dyDescent="0.15">
      <c r="A153" s="30"/>
      <c r="B153" s="30"/>
      <c r="C153" s="5"/>
      <c r="D153" s="18">
        <v>42091</v>
      </c>
      <c r="E153" s="13" t="s">
        <v>12</v>
      </c>
      <c r="F153" s="15" t="s">
        <v>57</v>
      </c>
      <c r="G153" s="14" t="s">
        <v>13</v>
      </c>
      <c r="H153" s="14" t="s">
        <v>14</v>
      </c>
      <c r="I153" s="14" t="s">
        <v>39</v>
      </c>
      <c r="J153" s="16">
        <v>14350</v>
      </c>
      <c r="K153" s="14">
        <v>3700</v>
      </c>
    </row>
    <row r="154" spans="1:11" hidden="1" x14ac:dyDescent="0.15">
      <c r="A154" s="30"/>
      <c r="B154" s="30"/>
      <c r="C154" s="5"/>
      <c r="D154" s="17">
        <v>42189</v>
      </c>
      <c r="E154" s="9" t="s">
        <v>26</v>
      </c>
      <c r="F154" s="11" t="s">
        <v>35</v>
      </c>
      <c r="G154" s="10" t="s">
        <v>19</v>
      </c>
      <c r="H154" s="10" t="s">
        <v>20</v>
      </c>
      <c r="I154" s="10" t="s">
        <v>39</v>
      </c>
      <c r="J154" s="12">
        <v>10900</v>
      </c>
      <c r="K154" s="10">
        <v>2340</v>
      </c>
    </row>
    <row r="155" spans="1:11" hidden="1" x14ac:dyDescent="0.15">
      <c r="A155" s="30"/>
      <c r="B155" s="30"/>
      <c r="C155" s="5"/>
      <c r="D155" s="18">
        <v>42163</v>
      </c>
      <c r="E155" s="13" t="s">
        <v>62</v>
      </c>
      <c r="F155" s="15" t="s">
        <v>35</v>
      </c>
      <c r="G155" s="14" t="s">
        <v>30</v>
      </c>
      <c r="H155" s="14" t="s">
        <v>64</v>
      </c>
      <c r="I155" s="14" t="s">
        <v>39</v>
      </c>
      <c r="J155" s="16">
        <v>11000</v>
      </c>
      <c r="K155" s="14">
        <v>3380</v>
      </c>
    </row>
    <row r="156" spans="1:11" hidden="1" x14ac:dyDescent="0.15">
      <c r="A156" s="30"/>
      <c r="B156" s="30"/>
      <c r="C156" s="5"/>
      <c r="D156" s="17">
        <v>42306</v>
      </c>
      <c r="E156" s="9" t="s">
        <v>40</v>
      </c>
      <c r="F156" s="11" t="s">
        <v>35</v>
      </c>
      <c r="G156" s="10" t="s">
        <v>24</v>
      </c>
      <c r="H156" s="10" t="s">
        <v>25</v>
      </c>
      <c r="I156" s="10" t="s">
        <v>39</v>
      </c>
      <c r="J156" s="12">
        <v>13050</v>
      </c>
      <c r="K156" s="10">
        <v>3580</v>
      </c>
    </row>
    <row r="157" spans="1:11" hidden="1" x14ac:dyDescent="0.15">
      <c r="A157" s="30"/>
      <c r="B157" s="30"/>
      <c r="C157" s="5"/>
      <c r="D157" s="18">
        <v>42183</v>
      </c>
      <c r="E157" s="13" t="s">
        <v>62</v>
      </c>
      <c r="F157" s="15" t="s">
        <v>35</v>
      </c>
      <c r="G157" s="14" t="s">
        <v>61</v>
      </c>
      <c r="H157" s="14" t="s">
        <v>41</v>
      </c>
      <c r="I157" s="14" t="s">
        <v>46</v>
      </c>
      <c r="J157" s="16">
        <v>11500</v>
      </c>
      <c r="K157" s="14">
        <v>2780</v>
      </c>
    </row>
    <row r="158" spans="1:11" hidden="1" x14ac:dyDescent="0.15">
      <c r="A158" s="30"/>
      <c r="B158" s="30"/>
      <c r="C158" s="5"/>
      <c r="D158" s="17">
        <v>42115</v>
      </c>
      <c r="E158" s="9" t="s">
        <v>22</v>
      </c>
      <c r="F158" s="11" t="s">
        <v>35</v>
      </c>
      <c r="G158" s="10" t="s">
        <v>30</v>
      </c>
      <c r="H158" s="10" t="s">
        <v>32</v>
      </c>
      <c r="I158" s="10" t="s">
        <v>52</v>
      </c>
      <c r="J158" s="12">
        <v>12050</v>
      </c>
      <c r="K158" s="10">
        <v>2160</v>
      </c>
    </row>
    <row r="159" spans="1:11" hidden="1" x14ac:dyDescent="0.15">
      <c r="A159" s="30"/>
      <c r="B159" s="30"/>
      <c r="C159" s="5"/>
      <c r="D159" s="18">
        <v>42103</v>
      </c>
      <c r="E159" s="13" t="s">
        <v>22</v>
      </c>
      <c r="F159" s="15" t="s">
        <v>35</v>
      </c>
      <c r="G159" s="14" t="s">
        <v>43</v>
      </c>
      <c r="H159" s="14" t="s">
        <v>37</v>
      </c>
      <c r="I159" s="14" t="s">
        <v>52</v>
      </c>
      <c r="J159" s="16">
        <v>11400</v>
      </c>
      <c r="K159" s="14">
        <v>5640</v>
      </c>
    </row>
    <row r="160" spans="1:11" hidden="1" x14ac:dyDescent="0.15">
      <c r="A160" s="30"/>
      <c r="B160" s="30"/>
      <c r="C160" s="5"/>
      <c r="D160" s="17">
        <v>42123</v>
      </c>
      <c r="E160" s="9" t="s">
        <v>22</v>
      </c>
      <c r="F160" s="11" t="s">
        <v>35</v>
      </c>
      <c r="G160" s="10" t="s">
        <v>47</v>
      </c>
      <c r="H160" s="10" t="s">
        <v>59</v>
      </c>
      <c r="I160" s="10" t="s">
        <v>63</v>
      </c>
      <c r="J160" s="12">
        <v>11900</v>
      </c>
      <c r="K160" s="10">
        <v>2940</v>
      </c>
    </row>
    <row r="161" spans="1:11" hidden="1" x14ac:dyDescent="0.15">
      <c r="A161" s="30"/>
      <c r="B161" s="30"/>
      <c r="C161" s="5"/>
      <c r="D161" s="18">
        <v>42132</v>
      </c>
      <c r="E161" s="13" t="s">
        <v>53</v>
      </c>
      <c r="F161" s="15" t="s">
        <v>35</v>
      </c>
      <c r="G161" s="14" t="s">
        <v>36</v>
      </c>
      <c r="H161" s="14" t="s">
        <v>37</v>
      </c>
      <c r="I161" s="14" t="s">
        <v>63</v>
      </c>
      <c r="J161" s="16">
        <v>13300</v>
      </c>
      <c r="K161" s="14">
        <v>4620</v>
      </c>
    </row>
    <row r="162" spans="1:11" hidden="1" x14ac:dyDescent="0.15">
      <c r="A162" s="30"/>
      <c r="B162" s="30"/>
      <c r="C162" s="5"/>
      <c r="D162" s="17">
        <v>42017</v>
      </c>
      <c r="E162" s="9" t="s">
        <v>7</v>
      </c>
      <c r="F162" s="11" t="s">
        <v>57</v>
      </c>
      <c r="G162" s="10" t="s">
        <v>13</v>
      </c>
      <c r="H162" s="10" t="s">
        <v>42</v>
      </c>
      <c r="I162" s="10" t="s">
        <v>45</v>
      </c>
      <c r="J162" s="12">
        <v>13750</v>
      </c>
      <c r="K162" s="10">
        <v>3780</v>
      </c>
    </row>
    <row r="163" spans="1:11" hidden="1" x14ac:dyDescent="0.15">
      <c r="A163" s="30"/>
      <c r="B163" s="30"/>
      <c r="C163" s="5"/>
      <c r="D163" s="18">
        <v>42220</v>
      </c>
      <c r="E163" s="13" t="s">
        <v>33</v>
      </c>
      <c r="F163" s="15" t="s">
        <v>35</v>
      </c>
      <c r="G163" s="14" t="s">
        <v>24</v>
      </c>
      <c r="H163" s="14" t="s">
        <v>37</v>
      </c>
      <c r="I163" s="14" t="s">
        <v>45</v>
      </c>
      <c r="J163" s="16">
        <v>13150</v>
      </c>
      <c r="K163" s="14">
        <v>2080</v>
      </c>
    </row>
    <row r="164" spans="1:11" hidden="1" x14ac:dyDescent="0.15">
      <c r="A164" s="30"/>
      <c r="B164" s="30"/>
      <c r="C164" s="5"/>
      <c r="D164" s="17">
        <v>42113</v>
      </c>
      <c r="E164" s="9" t="s">
        <v>22</v>
      </c>
      <c r="F164" s="11" t="s">
        <v>35</v>
      </c>
      <c r="G164" s="10" t="s">
        <v>24</v>
      </c>
      <c r="H164" s="10" t="s">
        <v>38</v>
      </c>
      <c r="I164" s="10" t="s">
        <v>52</v>
      </c>
      <c r="J164" s="12">
        <v>14800</v>
      </c>
      <c r="K164" s="10">
        <v>4080</v>
      </c>
    </row>
    <row r="165" spans="1:11" hidden="1" x14ac:dyDescent="0.15">
      <c r="A165" s="30"/>
      <c r="B165" s="30"/>
      <c r="C165" s="5"/>
      <c r="D165" s="18">
        <v>42152</v>
      </c>
      <c r="E165" s="13" t="s">
        <v>53</v>
      </c>
      <c r="F165" s="15" t="s">
        <v>35</v>
      </c>
      <c r="G165" s="14" t="s">
        <v>28</v>
      </c>
      <c r="H165" s="14" t="s">
        <v>59</v>
      </c>
      <c r="I165" s="14" t="s">
        <v>52</v>
      </c>
      <c r="J165" s="16">
        <v>14350</v>
      </c>
      <c r="K165" s="14">
        <v>2260</v>
      </c>
    </row>
    <row r="166" spans="1:11" hidden="1" x14ac:dyDescent="0.15">
      <c r="A166" s="30"/>
      <c r="B166" s="30"/>
      <c r="C166" s="5"/>
      <c r="D166" s="17">
        <v>42159</v>
      </c>
      <c r="E166" s="9" t="s">
        <v>62</v>
      </c>
      <c r="F166" s="11" t="s">
        <v>35</v>
      </c>
      <c r="G166" s="10" t="s">
        <v>9</v>
      </c>
      <c r="H166" s="10" t="s">
        <v>59</v>
      </c>
      <c r="I166" s="10" t="s">
        <v>52</v>
      </c>
      <c r="J166" s="12">
        <v>13600</v>
      </c>
      <c r="K166" s="10">
        <v>2660</v>
      </c>
    </row>
    <row r="167" spans="1:11" hidden="1" x14ac:dyDescent="0.15">
      <c r="A167" s="30"/>
      <c r="B167" s="30"/>
      <c r="C167" s="5"/>
      <c r="D167" s="18">
        <v>42060</v>
      </c>
      <c r="E167" s="13" t="s">
        <v>18</v>
      </c>
      <c r="F167" s="15" t="s">
        <v>57</v>
      </c>
      <c r="G167" s="14" t="s">
        <v>50</v>
      </c>
      <c r="H167" s="14" t="s">
        <v>25</v>
      </c>
      <c r="I167" s="14" t="s">
        <v>21</v>
      </c>
      <c r="J167" s="16">
        <v>12600</v>
      </c>
      <c r="K167" s="14">
        <v>4820</v>
      </c>
    </row>
    <row r="168" spans="1:11" hidden="1" x14ac:dyDescent="0.15">
      <c r="A168" s="30"/>
      <c r="B168" s="30"/>
      <c r="C168" s="5"/>
      <c r="D168" s="17">
        <v>42044</v>
      </c>
      <c r="E168" s="9" t="s">
        <v>18</v>
      </c>
      <c r="F168" s="11" t="s">
        <v>57</v>
      </c>
      <c r="G168" s="10" t="s">
        <v>43</v>
      </c>
      <c r="H168" s="10" t="s">
        <v>44</v>
      </c>
      <c r="I168" s="10" t="s">
        <v>21</v>
      </c>
      <c r="J168" s="12">
        <v>13600</v>
      </c>
      <c r="K168" s="10">
        <v>2740</v>
      </c>
    </row>
    <row r="169" spans="1:11" hidden="1" x14ac:dyDescent="0.15">
      <c r="A169" s="30"/>
      <c r="B169" s="30"/>
      <c r="C169" s="5"/>
      <c r="D169" s="18">
        <v>42149</v>
      </c>
      <c r="E169" s="13" t="s">
        <v>53</v>
      </c>
      <c r="F169" s="15" t="s">
        <v>35</v>
      </c>
      <c r="G169" s="14" t="s">
        <v>24</v>
      </c>
      <c r="H169" s="14" t="s">
        <v>25</v>
      </c>
      <c r="I169" s="14" t="s">
        <v>21</v>
      </c>
      <c r="J169" s="16">
        <v>10600</v>
      </c>
      <c r="K169" s="14">
        <v>5280</v>
      </c>
    </row>
    <row r="170" spans="1:11" hidden="1" x14ac:dyDescent="0.15">
      <c r="A170" s="30"/>
      <c r="B170" s="30"/>
      <c r="C170" s="5"/>
      <c r="D170" s="17">
        <v>42283</v>
      </c>
      <c r="E170" s="9" t="s">
        <v>40</v>
      </c>
      <c r="F170" s="11" t="s">
        <v>35</v>
      </c>
      <c r="G170" s="10" t="s">
        <v>28</v>
      </c>
      <c r="H170" s="10" t="s">
        <v>58</v>
      </c>
      <c r="I170" s="10" t="s">
        <v>21</v>
      </c>
      <c r="J170" s="12">
        <v>11150</v>
      </c>
      <c r="K170" s="10">
        <v>2320</v>
      </c>
    </row>
    <row r="171" spans="1:11" hidden="1" x14ac:dyDescent="0.15">
      <c r="A171" s="30"/>
      <c r="B171" s="30"/>
      <c r="C171" s="5"/>
      <c r="D171" s="18">
        <v>42107</v>
      </c>
      <c r="E171" s="13" t="s">
        <v>22</v>
      </c>
      <c r="F171" s="15" t="s">
        <v>35</v>
      </c>
      <c r="G171" s="14" t="s">
        <v>24</v>
      </c>
      <c r="H171" s="14" t="s">
        <v>38</v>
      </c>
      <c r="I171" s="14" t="s">
        <v>21</v>
      </c>
      <c r="J171" s="16">
        <v>12100</v>
      </c>
      <c r="K171" s="14">
        <v>4000</v>
      </c>
    </row>
    <row r="172" spans="1:11" hidden="1" x14ac:dyDescent="0.15">
      <c r="A172" s="30"/>
      <c r="B172" s="30"/>
      <c r="C172" s="5"/>
      <c r="D172" s="17">
        <v>42143</v>
      </c>
      <c r="E172" s="9" t="s">
        <v>53</v>
      </c>
      <c r="F172" s="11" t="s">
        <v>35</v>
      </c>
      <c r="G172" s="10" t="s">
        <v>47</v>
      </c>
      <c r="H172" s="10" t="s">
        <v>41</v>
      </c>
      <c r="I172" s="10" t="s">
        <v>21</v>
      </c>
      <c r="J172" s="12">
        <v>12850</v>
      </c>
      <c r="K172" s="10">
        <v>2940</v>
      </c>
    </row>
    <row r="173" spans="1:11" hidden="1" x14ac:dyDescent="0.15">
      <c r="A173" s="30"/>
      <c r="B173" s="30"/>
      <c r="C173" s="5"/>
      <c r="D173" s="18">
        <v>42367</v>
      </c>
      <c r="E173" s="13" t="s">
        <v>55</v>
      </c>
      <c r="F173" s="15" t="s">
        <v>35</v>
      </c>
      <c r="G173" s="14" t="s">
        <v>24</v>
      </c>
      <c r="H173" s="14" t="s">
        <v>25</v>
      </c>
      <c r="I173" s="14" t="s">
        <v>63</v>
      </c>
      <c r="J173" s="16">
        <v>13800</v>
      </c>
      <c r="K173" s="14">
        <v>2720</v>
      </c>
    </row>
    <row r="174" spans="1:11" hidden="1" x14ac:dyDescent="0.15">
      <c r="A174" s="30"/>
      <c r="B174" s="30"/>
      <c r="C174" s="5"/>
      <c r="D174" s="17">
        <v>42360</v>
      </c>
      <c r="E174" s="9" t="s">
        <v>55</v>
      </c>
      <c r="F174" s="11" t="s">
        <v>35</v>
      </c>
      <c r="G174" s="10" t="s">
        <v>47</v>
      </c>
      <c r="H174" s="10" t="s">
        <v>59</v>
      </c>
      <c r="I174" s="10" t="s">
        <v>21</v>
      </c>
      <c r="J174" s="12">
        <v>11050</v>
      </c>
      <c r="K174" s="10">
        <v>5300</v>
      </c>
    </row>
    <row r="175" spans="1:11" x14ac:dyDescent="0.15">
      <c r="A175" s="30"/>
      <c r="B175" s="30"/>
      <c r="C175" s="5"/>
      <c r="D175" s="18">
        <v>41652</v>
      </c>
      <c r="E175" s="13" t="s">
        <v>7</v>
      </c>
      <c r="F175" s="15" t="s">
        <v>69</v>
      </c>
      <c r="G175" s="14" t="s">
        <v>61</v>
      </c>
      <c r="H175" s="14" t="s">
        <v>67</v>
      </c>
      <c r="I175" s="14" t="s">
        <v>21</v>
      </c>
      <c r="J175" s="16">
        <v>11800</v>
      </c>
      <c r="K175" s="14">
        <v>4500</v>
      </c>
    </row>
    <row r="176" spans="1:11" x14ac:dyDescent="0.15">
      <c r="A176" s="30"/>
      <c r="B176" s="30"/>
      <c r="C176" s="5"/>
      <c r="D176" s="17">
        <v>41702</v>
      </c>
      <c r="E176" s="9" t="s">
        <v>12</v>
      </c>
      <c r="F176" s="11" t="s">
        <v>69</v>
      </c>
      <c r="G176" s="10" t="s">
        <v>30</v>
      </c>
      <c r="H176" s="10" t="s">
        <v>37</v>
      </c>
      <c r="I176" s="10" t="s">
        <v>63</v>
      </c>
      <c r="J176" s="12">
        <v>14950</v>
      </c>
      <c r="K176" s="10">
        <v>2540</v>
      </c>
    </row>
    <row r="177" spans="1:11" x14ac:dyDescent="0.15">
      <c r="A177" s="30"/>
      <c r="B177" s="30"/>
      <c r="C177" s="5"/>
      <c r="D177" s="18">
        <v>41712</v>
      </c>
      <c r="E177" s="13" t="s">
        <v>12</v>
      </c>
      <c r="F177" s="15" t="s">
        <v>69</v>
      </c>
      <c r="G177" s="14" t="s">
        <v>30</v>
      </c>
      <c r="H177" s="14" t="s">
        <v>70</v>
      </c>
      <c r="I177" s="14" t="s">
        <v>21</v>
      </c>
      <c r="J177" s="16">
        <v>10550</v>
      </c>
      <c r="K177" s="14">
        <v>3120</v>
      </c>
    </row>
    <row r="178" spans="1:11" hidden="1" x14ac:dyDescent="0.15">
      <c r="A178" s="30"/>
      <c r="B178" s="30"/>
      <c r="C178" s="5"/>
      <c r="D178" s="17">
        <v>41896</v>
      </c>
      <c r="E178" s="9" t="s">
        <v>29</v>
      </c>
      <c r="F178" s="11" t="s">
        <v>57</v>
      </c>
      <c r="G178" s="10" t="s">
        <v>30</v>
      </c>
      <c r="H178" s="10" t="s">
        <v>70</v>
      </c>
      <c r="I178" s="10" t="s">
        <v>21</v>
      </c>
      <c r="J178" s="12">
        <v>13650</v>
      </c>
      <c r="K178" s="10">
        <v>3080</v>
      </c>
    </row>
    <row r="179" spans="1:11" x14ac:dyDescent="0.15">
      <c r="A179" s="30"/>
      <c r="B179" s="30"/>
      <c r="C179" s="5"/>
      <c r="D179" s="18">
        <v>41687</v>
      </c>
      <c r="E179" s="13" t="s">
        <v>18</v>
      </c>
      <c r="F179" s="15" t="s">
        <v>69</v>
      </c>
      <c r="G179" s="14" t="s">
        <v>24</v>
      </c>
      <c r="H179" s="14" t="s">
        <v>38</v>
      </c>
      <c r="I179" s="14" t="s">
        <v>63</v>
      </c>
      <c r="J179" s="16">
        <v>10600</v>
      </c>
      <c r="K179" s="14">
        <v>3300</v>
      </c>
    </row>
    <row r="180" spans="1:11" hidden="1" x14ac:dyDescent="0.15">
      <c r="A180" s="30"/>
      <c r="B180" s="30"/>
      <c r="C180" s="5"/>
      <c r="D180" s="17">
        <v>41909</v>
      </c>
      <c r="E180" s="9" t="s">
        <v>29</v>
      </c>
      <c r="F180" s="11" t="s">
        <v>57</v>
      </c>
      <c r="G180" s="10" t="s">
        <v>36</v>
      </c>
      <c r="H180" s="10" t="s">
        <v>37</v>
      </c>
      <c r="I180" s="10" t="s">
        <v>21</v>
      </c>
      <c r="J180" s="12">
        <v>13200</v>
      </c>
      <c r="K180" s="10">
        <v>4040</v>
      </c>
    </row>
    <row r="181" spans="1:11" x14ac:dyDescent="0.15">
      <c r="A181" s="30"/>
      <c r="B181" s="30"/>
      <c r="C181" s="5"/>
      <c r="D181" s="18">
        <v>41689</v>
      </c>
      <c r="E181" s="13" t="s">
        <v>18</v>
      </c>
      <c r="F181" s="15" t="s">
        <v>69</v>
      </c>
      <c r="G181" s="14" t="s">
        <v>9</v>
      </c>
      <c r="H181" s="14" t="s">
        <v>34</v>
      </c>
      <c r="I181" s="14" t="s">
        <v>46</v>
      </c>
      <c r="J181" s="16">
        <v>10550</v>
      </c>
      <c r="K181" s="14">
        <v>3760</v>
      </c>
    </row>
    <row r="182" spans="1:11" hidden="1" x14ac:dyDescent="0.15">
      <c r="A182" s="30"/>
      <c r="B182" s="30"/>
      <c r="C182" s="5"/>
      <c r="D182" s="17">
        <v>41742</v>
      </c>
      <c r="E182" s="9" t="s">
        <v>22</v>
      </c>
      <c r="F182" s="11" t="s">
        <v>57</v>
      </c>
      <c r="G182" s="10" t="s">
        <v>24</v>
      </c>
      <c r="H182" s="10" t="s">
        <v>25</v>
      </c>
      <c r="I182" s="10" t="s">
        <v>21</v>
      </c>
      <c r="J182" s="12">
        <v>13100</v>
      </c>
      <c r="K182" s="10">
        <v>2700</v>
      </c>
    </row>
    <row r="183" spans="1:11" hidden="1" x14ac:dyDescent="0.15">
      <c r="A183" s="30"/>
      <c r="B183" s="30"/>
      <c r="C183" s="5"/>
      <c r="D183" s="18">
        <v>41950</v>
      </c>
      <c r="E183" s="13" t="s">
        <v>49</v>
      </c>
      <c r="F183" s="15" t="s">
        <v>57</v>
      </c>
      <c r="G183" s="14" t="s">
        <v>30</v>
      </c>
      <c r="H183" s="14" t="s">
        <v>32</v>
      </c>
      <c r="I183" s="14" t="s">
        <v>63</v>
      </c>
      <c r="J183" s="16">
        <v>12600</v>
      </c>
      <c r="K183" s="14">
        <v>2060</v>
      </c>
    </row>
    <row r="184" spans="1:11" hidden="1" x14ac:dyDescent="0.15">
      <c r="A184" s="30"/>
      <c r="B184" s="30"/>
      <c r="C184" s="5"/>
      <c r="D184" s="17">
        <v>41794</v>
      </c>
      <c r="E184" s="9" t="s">
        <v>62</v>
      </c>
      <c r="F184" s="11" t="s">
        <v>57</v>
      </c>
      <c r="G184" s="10" t="s">
        <v>19</v>
      </c>
      <c r="H184" s="10" t="s">
        <v>71</v>
      </c>
      <c r="I184" s="10" t="s">
        <v>45</v>
      </c>
      <c r="J184" s="12">
        <v>10500</v>
      </c>
      <c r="K184" s="10">
        <v>2920</v>
      </c>
    </row>
    <row r="185" spans="1:11" hidden="1" x14ac:dyDescent="0.15">
      <c r="A185" s="30"/>
      <c r="B185" s="30"/>
      <c r="C185" s="5"/>
      <c r="D185" s="18">
        <v>41733</v>
      </c>
      <c r="E185" s="13" t="s">
        <v>22</v>
      </c>
      <c r="F185" s="15" t="s">
        <v>57</v>
      </c>
      <c r="G185" s="14" t="s">
        <v>9</v>
      </c>
      <c r="H185" s="14" t="s">
        <v>10</v>
      </c>
      <c r="I185" s="14" t="s">
        <v>17</v>
      </c>
      <c r="J185" s="16">
        <v>12850</v>
      </c>
      <c r="K185" s="14">
        <v>4240</v>
      </c>
    </row>
    <row r="186" spans="1:11" hidden="1" x14ac:dyDescent="0.15">
      <c r="A186" s="30"/>
      <c r="B186" s="30"/>
      <c r="C186" s="5"/>
      <c r="D186" s="17">
        <v>41743</v>
      </c>
      <c r="E186" s="9" t="s">
        <v>22</v>
      </c>
      <c r="F186" s="11" t="s">
        <v>57</v>
      </c>
      <c r="G186" s="10" t="s">
        <v>24</v>
      </c>
      <c r="H186" s="10" t="s">
        <v>44</v>
      </c>
      <c r="I186" s="10" t="s">
        <v>63</v>
      </c>
      <c r="J186" s="12">
        <v>13750</v>
      </c>
      <c r="K186" s="10">
        <v>5620</v>
      </c>
    </row>
    <row r="187" spans="1:11" hidden="1" x14ac:dyDescent="0.15">
      <c r="A187" s="30"/>
      <c r="B187" s="30"/>
      <c r="C187" s="5"/>
      <c r="D187" s="18">
        <v>41887</v>
      </c>
      <c r="E187" s="13" t="s">
        <v>29</v>
      </c>
      <c r="F187" s="15" t="s">
        <v>57</v>
      </c>
      <c r="G187" s="14" t="s">
        <v>36</v>
      </c>
      <c r="H187" s="14" t="s">
        <v>41</v>
      </c>
      <c r="I187" s="14" t="s">
        <v>21</v>
      </c>
      <c r="J187" s="16">
        <v>11800</v>
      </c>
      <c r="K187" s="14">
        <v>4340</v>
      </c>
    </row>
    <row r="188" spans="1:11" hidden="1" x14ac:dyDescent="0.15">
      <c r="A188" s="30"/>
      <c r="B188" s="30"/>
      <c r="C188" s="5"/>
      <c r="D188" s="17">
        <v>41836</v>
      </c>
      <c r="E188" s="9" t="s">
        <v>26</v>
      </c>
      <c r="F188" s="11" t="s">
        <v>57</v>
      </c>
      <c r="G188" s="10" t="s">
        <v>61</v>
      </c>
      <c r="H188" s="10" t="s">
        <v>65</v>
      </c>
      <c r="I188" s="10" t="s">
        <v>21</v>
      </c>
      <c r="J188" s="12">
        <v>13050</v>
      </c>
      <c r="K188" s="10">
        <v>2020</v>
      </c>
    </row>
    <row r="189" spans="1:11" hidden="1" x14ac:dyDescent="0.15">
      <c r="A189" s="30"/>
      <c r="B189" s="30"/>
      <c r="C189" s="5"/>
      <c r="D189" s="18">
        <v>41796</v>
      </c>
      <c r="E189" s="13" t="s">
        <v>62</v>
      </c>
      <c r="F189" s="15" t="s">
        <v>57</v>
      </c>
      <c r="G189" s="14" t="s">
        <v>47</v>
      </c>
      <c r="H189" s="14" t="s">
        <v>34</v>
      </c>
      <c r="I189" s="14" t="s">
        <v>17</v>
      </c>
      <c r="J189" s="16">
        <v>11950</v>
      </c>
      <c r="K189" s="14">
        <v>3040</v>
      </c>
    </row>
    <row r="190" spans="1:11" x14ac:dyDescent="0.15">
      <c r="A190" s="30"/>
      <c r="B190" s="30"/>
      <c r="C190" s="5"/>
      <c r="D190" s="17">
        <v>41718</v>
      </c>
      <c r="E190" s="9" t="s">
        <v>12</v>
      </c>
      <c r="F190" s="11" t="s">
        <v>69</v>
      </c>
      <c r="G190" s="10" t="s">
        <v>61</v>
      </c>
      <c r="H190" s="10" t="s">
        <v>67</v>
      </c>
      <c r="I190" s="10" t="s">
        <v>45</v>
      </c>
      <c r="J190" s="12">
        <v>11650</v>
      </c>
      <c r="K190" s="10">
        <v>2940</v>
      </c>
    </row>
    <row r="191" spans="1:11" hidden="1" x14ac:dyDescent="0.15">
      <c r="A191" s="30"/>
      <c r="B191" s="30"/>
      <c r="C191" s="5"/>
      <c r="D191" s="18">
        <v>41795</v>
      </c>
      <c r="E191" s="13" t="s">
        <v>62</v>
      </c>
      <c r="F191" s="15" t="s">
        <v>57</v>
      </c>
      <c r="G191" s="14" t="s">
        <v>24</v>
      </c>
      <c r="H191" s="14" t="s">
        <v>25</v>
      </c>
      <c r="I191" s="14" t="s">
        <v>52</v>
      </c>
      <c r="J191" s="16">
        <v>14800</v>
      </c>
      <c r="K191" s="14">
        <v>3260</v>
      </c>
    </row>
    <row r="192" spans="1:11" hidden="1" x14ac:dyDescent="0.15">
      <c r="A192" s="30"/>
      <c r="B192" s="30"/>
      <c r="C192" s="5"/>
      <c r="D192" s="17">
        <v>41888</v>
      </c>
      <c r="E192" s="9" t="s">
        <v>29</v>
      </c>
      <c r="F192" s="11" t="s">
        <v>57</v>
      </c>
      <c r="G192" s="10" t="s">
        <v>51</v>
      </c>
      <c r="H192" s="10" t="s">
        <v>42</v>
      </c>
      <c r="I192" s="10" t="s">
        <v>52</v>
      </c>
      <c r="J192" s="12">
        <v>11050</v>
      </c>
      <c r="K192" s="10">
        <v>2680</v>
      </c>
    </row>
    <row r="193" spans="1:11" hidden="1" x14ac:dyDescent="0.15">
      <c r="A193" s="30"/>
      <c r="B193" s="30"/>
      <c r="C193" s="5"/>
      <c r="D193" s="18">
        <v>41845</v>
      </c>
      <c r="E193" s="13" t="s">
        <v>26</v>
      </c>
      <c r="F193" s="15" t="s">
        <v>57</v>
      </c>
      <c r="G193" s="14" t="s">
        <v>24</v>
      </c>
      <c r="H193" s="14" t="s">
        <v>44</v>
      </c>
      <c r="I193" s="14" t="s">
        <v>52</v>
      </c>
      <c r="J193" s="16">
        <v>13050</v>
      </c>
      <c r="K193" s="14">
        <v>2360</v>
      </c>
    </row>
    <row r="194" spans="1:11" hidden="1" x14ac:dyDescent="0.15">
      <c r="A194" s="30"/>
      <c r="B194" s="30"/>
      <c r="C194" s="5"/>
      <c r="D194" s="17">
        <v>41883</v>
      </c>
      <c r="E194" s="9" t="s">
        <v>29</v>
      </c>
      <c r="F194" s="11" t="s">
        <v>57</v>
      </c>
      <c r="G194" s="10" t="s">
        <v>24</v>
      </c>
      <c r="H194" s="10" t="s">
        <v>25</v>
      </c>
      <c r="I194" s="10" t="s">
        <v>21</v>
      </c>
      <c r="J194" s="12">
        <v>14700</v>
      </c>
      <c r="K194" s="10">
        <v>4940</v>
      </c>
    </row>
    <row r="195" spans="1:11" hidden="1" x14ac:dyDescent="0.15">
      <c r="A195" s="30"/>
      <c r="B195" s="30"/>
      <c r="C195" s="5"/>
      <c r="D195" s="18">
        <v>41828</v>
      </c>
      <c r="E195" s="13" t="s">
        <v>26</v>
      </c>
      <c r="F195" s="15" t="s">
        <v>57</v>
      </c>
      <c r="G195" s="14" t="s">
        <v>24</v>
      </c>
      <c r="H195" s="14" t="s">
        <v>44</v>
      </c>
      <c r="I195" s="14" t="s">
        <v>21</v>
      </c>
      <c r="J195" s="16">
        <v>14900</v>
      </c>
      <c r="K195" s="14">
        <v>2100</v>
      </c>
    </row>
    <row r="196" spans="1:11" x14ac:dyDescent="0.15">
      <c r="A196" s="30"/>
      <c r="B196" s="30"/>
      <c r="C196" s="5"/>
      <c r="D196" s="17">
        <v>41642</v>
      </c>
      <c r="E196" s="9" t="s">
        <v>7</v>
      </c>
      <c r="F196" s="11" t="s">
        <v>69</v>
      </c>
      <c r="G196" s="10" t="s">
        <v>60</v>
      </c>
      <c r="H196" s="10" t="s">
        <v>25</v>
      </c>
      <c r="I196" s="10" t="s">
        <v>39</v>
      </c>
      <c r="J196" s="12">
        <v>13550</v>
      </c>
      <c r="K196" s="10">
        <v>2820</v>
      </c>
    </row>
    <row r="197" spans="1:11" hidden="1" x14ac:dyDescent="0.15">
      <c r="A197" s="30"/>
      <c r="B197" s="30"/>
      <c r="C197" s="5"/>
      <c r="D197" s="18">
        <v>41907</v>
      </c>
      <c r="E197" s="13" t="s">
        <v>29</v>
      </c>
      <c r="F197" s="15" t="s">
        <v>57</v>
      </c>
      <c r="G197" s="14" t="s">
        <v>28</v>
      </c>
      <c r="H197" s="14" t="s">
        <v>10</v>
      </c>
      <c r="I197" s="14" t="s">
        <v>39</v>
      </c>
      <c r="J197" s="16">
        <v>10500</v>
      </c>
      <c r="K197" s="14">
        <v>5000</v>
      </c>
    </row>
    <row r="198" spans="1:11" hidden="1" x14ac:dyDescent="0.15">
      <c r="A198" s="30"/>
      <c r="B198" s="30"/>
      <c r="C198" s="5"/>
      <c r="D198" s="17">
        <v>41800</v>
      </c>
      <c r="E198" s="9" t="s">
        <v>62</v>
      </c>
      <c r="F198" s="11" t="s">
        <v>57</v>
      </c>
      <c r="G198" s="10" t="s">
        <v>28</v>
      </c>
      <c r="H198" s="10" t="s">
        <v>58</v>
      </c>
      <c r="I198" s="10" t="s">
        <v>46</v>
      </c>
      <c r="J198" s="12">
        <v>10200</v>
      </c>
      <c r="K198" s="10">
        <v>5640</v>
      </c>
    </row>
    <row r="199" spans="1:11" x14ac:dyDescent="0.15">
      <c r="A199" s="30"/>
      <c r="B199" s="30"/>
      <c r="C199" s="5"/>
      <c r="D199" s="18">
        <v>41670</v>
      </c>
      <c r="E199" s="13" t="s">
        <v>7</v>
      </c>
      <c r="F199" s="15" t="s">
        <v>69</v>
      </c>
      <c r="G199" s="14" t="s">
        <v>36</v>
      </c>
      <c r="H199" s="14" t="s">
        <v>41</v>
      </c>
      <c r="I199" s="14" t="s">
        <v>46</v>
      </c>
      <c r="J199" s="16">
        <v>11450</v>
      </c>
      <c r="K199" s="14">
        <v>4980</v>
      </c>
    </row>
    <row r="200" spans="1:11" hidden="1" x14ac:dyDescent="0.15">
      <c r="A200" s="30"/>
      <c r="B200" s="30"/>
      <c r="C200" s="5"/>
      <c r="D200" s="17">
        <v>41752</v>
      </c>
      <c r="E200" s="9" t="s">
        <v>22</v>
      </c>
      <c r="F200" s="11" t="s">
        <v>57</v>
      </c>
      <c r="G200" s="10" t="s">
        <v>24</v>
      </c>
      <c r="H200" s="10" t="s">
        <v>25</v>
      </c>
      <c r="I200" s="10" t="s">
        <v>17</v>
      </c>
      <c r="J200" s="12">
        <v>14500</v>
      </c>
      <c r="K200" s="10">
        <v>3800</v>
      </c>
    </row>
    <row r="201" spans="1:11" hidden="1" x14ac:dyDescent="0.15">
      <c r="A201" s="30"/>
      <c r="B201" s="30"/>
      <c r="C201" s="5"/>
      <c r="D201" s="18">
        <v>41829</v>
      </c>
      <c r="E201" s="13" t="s">
        <v>26</v>
      </c>
      <c r="F201" s="15" t="s">
        <v>57</v>
      </c>
      <c r="G201" s="14" t="s">
        <v>9</v>
      </c>
      <c r="H201" s="14" t="s">
        <v>34</v>
      </c>
      <c r="I201" s="14" t="s">
        <v>17</v>
      </c>
      <c r="J201" s="16">
        <v>12300</v>
      </c>
      <c r="K201" s="14">
        <v>4980</v>
      </c>
    </row>
    <row r="202" spans="1:11" x14ac:dyDescent="0.15">
      <c r="A202" s="30"/>
      <c r="B202" s="30"/>
      <c r="C202" s="5"/>
      <c r="D202" s="17">
        <v>41659</v>
      </c>
      <c r="E202" s="9" t="s">
        <v>7</v>
      </c>
      <c r="F202" s="11" t="s">
        <v>69</v>
      </c>
      <c r="G202" s="10" t="s">
        <v>47</v>
      </c>
      <c r="H202" s="10" t="s">
        <v>41</v>
      </c>
      <c r="I202" s="10" t="s">
        <v>52</v>
      </c>
      <c r="J202" s="12">
        <v>12050</v>
      </c>
      <c r="K202" s="10">
        <v>5720</v>
      </c>
    </row>
    <row r="203" spans="1:11" hidden="1" x14ac:dyDescent="0.15">
      <c r="A203" s="30"/>
      <c r="B203" s="30"/>
      <c r="C203" s="5"/>
      <c r="D203" s="18">
        <v>41963</v>
      </c>
      <c r="E203" s="13" t="s">
        <v>49</v>
      </c>
      <c r="F203" s="15" t="s">
        <v>57</v>
      </c>
      <c r="G203" s="14" t="s">
        <v>47</v>
      </c>
      <c r="H203" s="14" t="s">
        <v>34</v>
      </c>
      <c r="I203" s="14" t="s">
        <v>52</v>
      </c>
      <c r="J203" s="16">
        <v>14650</v>
      </c>
      <c r="K203" s="14">
        <v>4300</v>
      </c>
    </row>
    <row r="204" spans="1:11" hidden="1" x14ac:dyDescent="0.15">
      <c r="A204" s="30"/>
      <c r="B204" s="30"/>
      <c r="C204" s="5"/>
      <c r="D204" s="17">
        <v>41913</v>
      </c>
      <c r="E204" s="9" t="s">
        <v>40</v>
      </c>
      <c r="F204" s="11" t="s">
        <v>57</v>
      </c>
      <c r="G204" s="10" t="s">
        <v>43</v>
      </c>
      <c r="H204" s="10" t="s">
        <v>37</v>
      </c>
      <c r="I204" s="10" t="s">
        <v>21</v>
      </c>
      <c r="J204" s="12">
        <v>12400</v>
      </c>
      <c r="K204" s="10">
        <v>5040</v>
      </c>
    </row>
    <row r="205" spans="1:11" hidden="1" x14ac:dyDescent="0.15">
      <c r="A205" s="30"/>
      <c r="B205" s="30"/>
      <c r="C205" s="5"/>
      <c r="D205" s="18">
        <v>41816</v>
      </c>
      <c r="E205" s="13" t="s">
        <v>62</v>
      </c>
      <c r="F205" s="15" t="s">
        <v>57</v>
      </c>
      <c r="G205" s="14" t="s">
        <v>47</v>
      </c>
      <c r="H205" s="14" t="s">
        <v>41</v>
      </c>
      <c r="I205" s="14" t="s">
        <v>63</v>
      </c>
      <c r="J205" s="16">
        <v>14900</v>
      </c>
      <c r="K205" s="14">
        <v>2220</v>
      </c>
    </row>
    <row r="206" spans="1:11" hidden="1" x14ac:dyDescent="0.15">
      <c r="A206" s="30"/>
      <c r="B206" s="30"/>
      <c r="C206" s="5"/>
      <c r="D206" s="17">
        <v>41921</v>
      </c>
      <c r="E206" s="9" t="s">
        <v>40</v>
      </c>
      <c r="F206" s="11" t="s">
        <v>57</v>
      </c>
      <c r="G206" s="10" t="s">
        <v>19</v>
      </c>
      <c r="H206" s="10" t="s">
        <v>56</v>
      </c>
      <c r="I206" s="10" t="s">
        <v>39</v>
      </c>
      <c r="J206" s="12">
        <v>10450</v>
      </c>
      <c r="K206" s="10">
        <v>5780</v>
      </c>
    </row>
    <row r="207" spans="1:11" hidden="1" x14ac:dyDescent="0.15">
      <c r="A207" s="30"/>
      <c r="B207" s="30"/>
      <c r="C207" s="5"/>
      <c r="D207" s="18">
        <v>41894</v>
      </c>
      <c r="E207" s="13" t="s">
        <v>29</v>
      </c>
      <c r="F207" s="15" t="s">
        <v>57</v>
      </c>
      <c r="G207" s="14" t="s">
        <v>47</v>
      </c>
      <c r="H207" s="14" t="s">
        <v>34</v>
      </c>
      <c r="I207" s="14" t="s">
        <v>63</v>
      </c>
      <c r="J207" s="16">
        <v>10100</v>
      </c>
      <c r="K207" s="14">
        <v>4600</v>
      </c>
    </row>
    <row r="208" spans="1:11" hidden="1" x14ac:dyDescent="0.15">
      <c r="A208" s="30"/>
      <c r="B208" s="30"/>
      <c r="C208" s="5"/>
      <c r="D208" s="17">
        <v>41853</v>
      </c>
      <c r="E208" s="9" t="s">
        <v>33</v>
      </c>
      <c r="F208" s="11" t="s">
        <v>57</v>
      </c>
      <c r="G208" s="10" t="s">
        <v>60</v>
      </c>
      <c r="H208" s="10" t="s">
        <v>25</v>
      </c>
      <c r="I208" s="10" t="s">
        <v>63</v>
      </c>
      <c r="J208" s="12">
        <v>13750</v>
      </c>
      <c r="K208" s="10">
        <v>3640</v>
      </c>
    </row>
    <row r="209" spans="1:11" hidden="1" x14ac:dyDescent="0.15">
      <c r="A209" s="30"/>
      <c r="B209" s="30"/>
      <c r="C209" s="5"/>
      <c r="D209" s="18">
        <v>41749</v>
      </c>
      <c r="E209" s="13" t="s">
        <v>22</v>
      </c>
      <c r="F209" s="15" t="s">
        <v>57</v>
      </c>
      <c r="G209" s="14" t="s">
        <v>9</v>
      </c>
      <c r="H209" s="14" t="s">
        <v>10</v>
      </c>
      <c r="I209" s="14" t="s">
        <v>52</v>
      </c>
      <c r="J209" s="16">
        <v>12450</v>
      </c>
      <c r="K209" s="14">
        <v>2220</v>
      </c>
    </row>
    <row r="210" spans="1:11" hidden="1" x14ac:dyDescent="0.15">
      <c r="A210" s="30"/>
      <c r="B210" s="30"/>
      <c r="C210" s="5"/>
      <c r="D210" s="17">
        <v>41758</v>
      </c>
      <c r="E210" s="9" t="s">
        <v>22</v>
      </c>
      <c r="F210" s="11" t="s">
        <v>57</v>
      </c>
      <c r="G210" s="10" t="s">
        <v>9</v>
      </c>
      <c r="H210" s="10" t="s">
        <v>10</v>
      </c>
      <c r="I210" s="10" t="s">
        <v>52</v>
      </c>
      <c r="J210" s="12">
        <v>10400</v>
      </c>
      <c r="K210" s="10">
        <v>2900</v>
      </c>
    </row>
    <row r="211" spans="1:11" x14ac:dyDescent="0.15">
      <c r="A211" s="30"/>
      <c r="B211" s="30"/>
      <c r="C211" s="5"/>
      <c r="D211" s="18">
        <v>41726</v>
      </c>
      <c r="E211" s="13" t="s">
        <v>12</v>
      </c>
      <c r="F211" s="15" t="s">
        <v>69</v>
      </c>
      <c r="G211" s="14" t="s">
        <v>30</v>
      </c>
      <c r="H211" s="14" t="s">
        <v>37</v>
      </c>
      <c r="I211" s="14" t="s">
        <v>45</v>
      </c>
      <c r="J211" s="16">
        <v>11000</v>
      </c>
      <c r="K211" s="14">
        <v>2940</v>
      </c>
    </row>
    <row r="212" spans="1:11" hidden="1" x14ac:dyDescent="0.15">
      <c r="A212" s="30"/>
      <c r="B212" s="30"/>
      <c r="C212" s="5"/>
      <c r="D212" s="17">
        <v>41950</v>
      </c>
      <c r="E212" s="9" t="s">
        <v>49</v>
      </c>
      <c r="F212" s="11" t="s">
        <v>57</v>
      </c>
      <c r="G212" s="10" t="s">
        <v>50</v>
      </c>
      <c r="H212" s="10" t="s">
        <v>25</v>
      </c>
      <c r="I212" s="10" t="s">
        <v>52</v>
      </c>
      <c r="J212" s="12">
        <v>13650</v>
      </c>
      <c r="K212" s="10">
        <v>5740</v>
      </c>
    </row>
    <row r="213" spans="1:11" hidden="1" x14ac:dyDescent="0.15">
      <c r="A213" s="30"/>
      <c r="B213" s="30"/>
      <c r="C213" s="5"/>
      <c r="D213" s="18">
        <v>41850</v>
      </c>
      <c r="E213" s="13" t="s">
        <v>26</v>
      </c>
      <c r="F213" s="15" t="s">
        <v>57</v>
      </c>
      <c r="G213" s="14" t="s">
        <v>36</v>
      </c>
      <c r="H213" s="14" t="s">
        <v>37</v>
      </c>
      <c r="I213" s="14" t="s">
        <v>17</v>
      </c>
      <c r="J213" s="16">
        <v>13750</v>
      </c>
      <c r="K213" s="14">
        <v>5280</v>
      </c>
    </row>
    <row r="214" spans="1:11" hidden="1" x14ac:dyDescent="0.15">
      <c r="A214" s="30"/>
      <c r="B214" s="30"/>
      <c r="C214" s="5"/>
      <c r="D214" s="17">
        <v>41822</v>
      </c>
      <c r="E214" s="9" t="s">
        <v>26</v>
      </c>
      <c r="F214" s="11" t="s">
        <v>57</v>
      </c>
      <c r="G214" s="10" t="s">
        <v>36</v>
      </c>
      <c r="H214" s="10" t="s">
        <v>37</v>
      </c>
      <c r="I214" s="10" t="s">
        <v>63</v>
      </c>
      <c r="J214" s="12">
        <v>12700</v>
      </c>
      <c r="K214" s="10">
        <v>4340</v>
      </c>
    </row>
    <row r="215" spans="1:11" hidden="1" x14ac:dyDescent="0.15">
      <c r="A215" s="30"/>
      <c r="B215" s="30"/>
      <c r="C215" s="5"/>
      <c r="D215" s="18">
        <v>41965</v>
      </c>
      <c r="E215" s="13" t="s">
        <v>49</v>
      </c>
      <c r="F215" s="15" t="s">
        <v>57</v>
      </c>
      <c r="G215" s="14" t="s">
        <v>43</v>
      </c>
      <c r="H215" s="14" t="s">
        <v>37</v>
      </c>
      <c r="I215" s="14" t="s">
        <v>15</v>
      </c>
      <c r="J215" s="16">
        <v>13550</v>
      </c>
      <c r="K215" s="14">
        <v>5080</v>
      </c>
    </row>
    <row r="216" spans="1:11" hidden="1" x14ac:dyDescent="0.15">
      <c r="A216" s="30"/>
      <c r="B216" s="30"/>
      <c r="C216" s="5"/>
      <c r="D216" s="17">
        <v>41860</v>
      </c>
      <c r="E216" s="9" t="s">
        <v>33</v>
      </c>
      <c r="F216" s="11" t="s">
        <v>57</v>
      </c>
      <c r="G216" s="10" t="s">
        <v>24</v>
      </c>
      <c r="H216" s="10" t="s">
        <v>44</v>
      </c>
      <c r="I216" s="10" t="s">
        <v>15</v>
      </c>
      <c r="J216" s="12">
        <v>11000</v>
      </c>
      <c r="K216" s="10">
        <v>3400</v>
      </c>
    </row>
    <row r="217" spans="1:11" hidden="1" x14ac:dyDescent="0.15">
      <c r="A217" s="30"/>
      <c r="B217" s="30"/>
      <c r="C217" s="5"/>
      <c r="D217" s="18">
        <v>41940</v>
      </c>
      <c r="E217" s="13" t="s">
        <v>40</v>
      </c>
      <c r="F217" s="15" t="s">
        <v>57</v>
      </c>
      <c r="G217" s="14" t="s">
        <v>24</v>
      </c>
      <c r="H217" s="14" t="s">
        <v>44</v>
      </c>
      <c r="I217" s="14" t="s">
        <v>15</v>
      </c>
      <c r="J217" s="16">
        <v>12150</v>
      </c>
      <c r="K217" s="14">
        <v>3740</v>
      </c>
    </row>
    <row r="218" spans="1:11" hidden="1" x14ac:dyDescent="0.15">
      <c r="A218" s="30"/>
      <c r="B218" s="30"/>
      <c r="C218" s="5"/>
      <c r="D218" s="17">
        <v>41943</v>
      </c>
      <c r="E218" s="9" t="s">
        <v>40</v>
      </c>
      <c r="F218" s="11" t="s">
        <v>57</v>
      </c>
      <c r="G218" s="10" t="s">
        <v>51</v>
      </c>
      <c r="H218" s="10" t="s">
        <v>41</v>
      </c>
      <c r="I218" s="10" t="s">
        <v>15</v>
      </c>
      <c r="J218" s="12">
        <v>10850</v>
      </c>
      <c r="K218" s="10">
        <v>3220</v>
      </c>
    </row>
    <row r="219" spans="1:11" hidden="1" x14ac:dyDescent="0.15">
      <c r="A219" s="30"/>
      <c r="B219" s="30"/>
      <c r="C219" s="5"/>
      <c r="D219" s="18">
        <v>41761</v>
      </c>
      <c r="E219" s="13" t="s">
        <v>53</v>
      </c>
      <c r="F219" s="15" t="s">
        <v>57</v>
      </c>
      <c r="G219" s="14" t="s">
        <v>24</v>
      </c>
      <c r="H219" s="14" t="s">
        <v>44</v>
      </c>
      <c r="I219" s="14" t="s">
        <v>63</v>
      </c>
      <c r="J219" s="16">
        <v>14100</v>
      </c>
      <c r="K219" s="14">
        <v>2100</v>
      </c>
    </row>
    <row r="220" spans="1:11" hidden="1" x14ac:dyDescent="0.15">
      <c r="A220" s="30"/>
      <c r="B220" s="30"/>
      <c r="C220" s="5"/>
      <c r="D220" s="17">
        <v>41967</v>
      </c>
      <c r="E220" s="9" t="s">
        <v>49</v>
      </c>
      <c r="F220" s="11" t="s">
        <v>57</v>
      </c>
      <c r="G220" s="10" t="s">
        <v>13</v>
      </c>
      <c r="H220" s="10" t="s">
        <v>42</v>
      </c>
      <c r="I220" s="10" t="s">
        <v>15</v>
      </c>
      <c r="J220" s="12">
        <v>13750</v>
      </c>
      <c r="K220" s="10">
        <v>3820</v>
      </c>
    </row>
    <row r="221" spans="1:11" hidden="1" x14ac:dyDescent="0.15">
      <c r="A221" s="30"/>
      <c r="B221" s="30"/>
      <c r="C221" s="5"/>
      <c r="D221" s="18">
        <v>41828</v>
      </c>
      <c r="E221" s="13" t="s">
        <v>26</v>
      </c>
      <c r="F221" s="15" t="s">
        <v>57</v>
      </c>
      <c r="G221" s="14" t="s">
        <v>30</v>
      </c>
      <c r="H221" s="14" t="s">
        <v>70</v>
      </c>
      <c r="I221" s="14" t="s">
        <v>15</v>
      </c>
      <c r="J221" s="16">
        <v>13700</v>
      </c>
      <c r="K221" s="14">
        <v>4600</v>
      </c>
    </row>
    <row r="222" spans="1:11" hidden="1" x14ac:dyDescent="0.15">
      <c r="A222" s="30"/>
      <c r="B222" s="30"/>
      <c r="C222" s="5"/>
      <c r="D222" s="17">
        <v>41733</v>
      </c>
      <c r="E222" s="9" t="s">
        <v>22</v>
      </c>
      <c r="F222" s="11" t="s">
        <v>57</v>
      </c>
      <c r="G222" s="10" t="s">
        <v>30</v>
      </c>
      <c r="H222" s="10" t="s">
        <v>32</v>
      </c>
      <c r="I222" s="10" t="s">
        <v>15</v>
      </c>
      <c r="J222" s="12">
        <v>12900</v>
      </c>
      <c r="K222" s="10">
        <v>3980</v>
      </c>
    </row>
    <row r="223" spans="1:11" x14ac:dyDescent="0.15">
      <c r="A223" s="30"/>
      <c r="B223" s="30"/>
      <c r="C223" s="5"/>
      <c r="D223" s="18">
        <v>41693</v>
      </c>
      <c r="E223" s="13" t="s">
        <v>18</v>
      </c>
      <c r="F223" s="15" t="s">
        <v>69</v>
      </c>
      <c r="G223" s="14" t="s">
        <v>61</v>
      </c>
      <c r="H223" s="14" t="s">
        <v>41</v>
      </c>
      <c r="I223" s="14" t="s">
        <v>15</v>
      </c>
      <c r="J223" s="16">
        <v>13800</v>
      </c>
      <c r="K223" s="14">
        <v>4540</v>
      </c>
    </row>
    <row r="224" spans="1:11" x14ac:dyDescent="0.15">
      <c r="A224" s="30"/>
      <c r="B224" s="30"/>
      <c r="C224" s="5"/>
      <c r="D224" s="17">
        <v>41652</v>
      </c>
      <c r="E224" s="9" t="s">
        <v>7</v>
      </c>
      <c r="F224" s="11" t="s">
        <v>69</v>
      </c>
      <c r="G224" s="10" t="s">
        <v>43</v>
      </c>
      <c r="H224" s="10" t="s">
        <v>44</v>
      </c>
      <c r="I224" s="10" t="s">
        <v>46</v>
      </c>
      <c r="J224" s="12">
        <v>11050</v>
      </c>
      <c r="K224" s="10">
        <v>5460</v>
      </c>
    </row>
    <row r="225" spans="1:11" hidden="1" x14ac:dyDescent="0.15">
      <c r="A225" s="30"/>
      <c r="B225" s="30"/>
      <c r="C225" s="5"/>
      <c r="D225" s="18">
        <v>41920</v>
      </c>
      <c r="E225" s="13" t="s">
        <v>40</v>
      </c>
      <c r="F225" s="15" t="s">
        <v>57</v>
      </c>
      <c r="G225" s="14" t="s">
        <v>30</v>
      </c>
      <c r="H225" s="14" t="s">
        <v>70</v>
      </c>
      <c r="I225" s="14" t="s">
        <v>46</v>
      </c>
      <c r="J225" s="16">
        <v>14150</v>
      </c>
      <c r="K225" s="14">
        <v>2360</v>
      </c>
    </row>
    <row r="226" spans="1:11" hidden="1" x14ac:dyDescent="0.15">
      <c r="A226" s="30"/>
      <c r="B226" s="30"/>
      <c r="C226" s="5"/>
      <c r="D226" s="17">
        <v>41871</v>
      </c>
      <c r="E226" s="9" t="s">
        <v>33</v>
      </c>
      <c r="F226" s="11" t="s">
        <v>57</v>
      </c>
      <c r="G226" s="10" t="s">
        <v>60</v>
      </c>
      <c r="H226" s="10" t="s">
        <v>25</v>
      </c>
      <c r="I226" s="10" t="s">
        <v>39</v>
      </c>
      <c r="J226" s="12">
        <v>14550</v>
      </c>
      <c r="K226" s="10">
        <v>3100</v>
      </c>
    </row>
    <row r="227" spans="1:11" hidden="1" x14ac:dyDescent="0.15">
      <c r="A227" s="30"/>
      <c r="B227" s="30"/>
      <c r="C227" s="5"/>
      <c r="D227" s="18">
        <v>41886</v>
      </c>
      <c r="E227" s="13" t="s">
        <v>29</v>
      </c>
      <c r="F227" s="15" t="s">
        <v>57</v>
      </c>
      <c r="G227" s="14" t="s">
        <v>13</v>
      </c>
      <c r="H227" s="14" t="s">
        <v>54</v>
      </c>
      <c r="I227" s="14" t="s">
        <v>39</v>
      </c>
      <c r="J227" s="16">
        <v>13200</v>
      </c>
      <c r="K227" s="14">
        <v>2780</v>
      </c>
    </row>
    <row r="228" spans="1:11" x14ac:dyDescent="0.15">
      <c r="A228" s="30"/>
      <c r="B228" s="30"/>
      <c r="C228" s="5"/>
      <c r="D228" s="17">
        <v>41719</v>
      </c>
      <c r="E228" s="9" t="s">
        <v>12</v>
      </c>
      <c r="F228" s="11" t="s">
        <v>69</v>
      </c>
      <c r="G228" s="10" t="s">
        <v>24</v>
      </c>
      <c r="H228" s="10" t="s">
        <v>44</v>
      </c>
      <c r="I228" s="10" t="s">
        <v>52</v>
      </c>
      <c r="J228" s="12">
        <v>14800</v>
      </c>
      <c r="K228" s="10">
        <v>2060</v>
      </c>
    </row>
    <row r="229" spans="1:11" hidden="1" x14ac:dyDescent="0.15">
      <c r="A229" s="30"/>
      <c r="B229" s="30"/>
      <c r="C229" s="5"/>
      <c r="D229" s="18">
        <v>41818</v>
      </c>
      <c r="E229" s="13" t="s">
        <v>62</v>
      </c>
      <c r="F229" s="15" t="s">
        <v>57</v>
      </c>
      <c r="G229" s="14" t="s">
        <v>43</v>
      </c>
      <c r="H229" s="14" t="s">
        <v>44</v>
      </c>
      <c r="I229" s="14" t="s">
        <v>45</v>
      </c>
      <c r="J229" s="16">
        <v>13150</v>
      </c>
      <c r="K229" s="14">
        <v>5800</v>
      </c>
    </row>
    <row r="230" spans="1:11" hidden="1" x14ac:dyDescent="0.15">
      <c r="A230" s="30"/>
      <c r="B230" s="30"/>
      <c r="C230" s="5"/>
      <c r="D230" s="17">
        <v>41901</v>
      </c>
      <c r="E230" s="9" t="s">
        <v>29</v>
      </c>
      <c r="F230" s="11" t="s">
        <v>57</v>
      </c>
      <c r="G230" s="10" t="s">
        <v>47</v>
      </c>
      <c r="H230" s="10" t="s">
        <v>41</v>
      </c>
      <c r="I230" s="10" t="s">
        <v>52</v>
      </c>
      <c r="J230" s="12">
        <v>14000</v>
      </c>
      <c r="K230" s="10">
        <v>5740</v>
      </c>
    </row>
    <row r="231" spans="1:11" x14ac:dyDescent="0.15">
      <c r="A231" s="30"/>
      <c r="B231" s="30"/>
      <c r="C231" s="5"/>
      <c r="D231" s="18">
        <v>41705</v>
      </c>
      <c r="E231" s="13" t="s">
        <v>12</v>
      </c>
      <c r="F231" s="15" t="s">
        <v>69</v>
      </c>
      <c r="G231" s="14" t="s">
        <v>19</v>
      </c>
      <c r="H231" s="14" t="s">
        <v>71</v>
      </c>
      <c r="I231" s="14" t="s">
        <v>63</v>
      </c>
      <c r="J231" s="16">
        <v>13850</v>
      </c>
      <c r="K231" s="14">
        <v>4000</v>
      </c>
    </row>
    <row r="232" spans="1:11" hidden="1" x14ac:dyDescent="0.15">
      <c r="A232" s="30"/>
      <c r="B232" s="30"/>
      <c r="C232" s="5"/>
      <c r="D232" s="17">
        <v>41855</v>
      </c>
      <c r="E232" s="9" t="s">
        <v>33</v>
      </c>
      <c r="F232" s="11" t="s">
        <v>57</v>
      </c>
      <c r="G232" s="10" t="s">
        <v>43</v>
      </c>
      <c r="H232" s="10" t="s">
        <v>37</v>
      </c>
      <c r="I232" s="10" t="s">
        <v>46</v>
      </c>
      <c r="J232" s="12">
        <v>13800</v>
      </c>
      <c r="K232" s="10">
        <v>4140</v>
      </c>
    </row>
    <row r="233" spans="1:11" hidden="1" x14ac:dyDescent="0.15">
      <c r="A233" s="30"/>
      <c r="B233" s="30"/>
      <c r="C233" s="5"/>
      <c r="D233" s="18">
        <v>41876</v>
      </c>
      <c r="E233" s="13" t="s">
        <v>33</v>
      </c>
      <c r="F233" s="15" t="s">
        <v>57</v>
      </c>
      <c r="G233" s="14" t="s">
        <v>51</v>
      </c>
      <c r="H233" s="14" t="s">
        <v>25</v>
      </c>
      <c r="I233" s="14" t="s">
        <v>15</v>
      </c>
      <c r="J233" s="16">
        <v>11250</v>
      </c>
      <c r="K233" s="14">
        <v>4880</v>
      </c>
    </row>
    <row r="234" spans="1:11" hidden="1" x14ac:dyDescent="0.15">
      <c r="A234" s="30"/>
      <c r="B234" s="30"/>
      <c r="C234" s="5"/>
      <c r="D234" s="17">
        <v>41789</v>
      </c>
      <c r="E234" s="9" t="s">
        <v>53</v>
      </c>
      <c r="F234" s="11" t="s">
        <v>57</v>
      </c>
      <c r="G234" s="10" t="s">
        <v>30</v>
      </c>
      <c r="H234" s="10" t="s">
        <v>37</v>
      </c>
      <c r="I234" s="10" t="s">
        <v>63</v>
      </c>
      <c r="J234" s="12">
        <v>13000</v>
      </c>
      <c r="K234" s="10">
        <v>5500</v>
      </c>
    </row>
    <row r="235" spans="1:11" hidden="1" x14ac:dyDescent="0.15">
      <c r="A235" s="30"/>
      <c r="B235" s="30"/>
      <c r="C235" s="5"/>
      <c r="D235" s="18">
        <v>41851</v>
      </c>
      <c r="E235" s="13" t="s">
        <v>26</v>
      </c>
      <c r="F235" s="15" t="s">
        <v>57</v>
      </c>
      <c r="G235" s="14" t="s">
        <v>28</v>
      </c>
      <c r="H235" s="14" t="s">
        <v>10</v>
      </c>
      <c r="I235" s="14" t="s">
        <v>15</v>
      </c>
      <c r="J235" s="16">
        <v>11050</v>
      </c>
      <c r="K235" s="14">
        <v>2000</v>
      </c>
    </row>
    <row r="236" spans="1:11" hidden="1" x14ac:dyDescent="0.15">
      <c r="A236" s="30"/>
      <c r="B236" s="30"/>
      <c r="C236" s="5"/>
      <c r="D236" s="17">
        <v>41756</v>
      </c>
      <c r="E236" s="9" t="s">
        <v>22</v>
      </c>
      <c r="F236" s="11" t="s">
        <v>57</v>
      </c>
      <c r="G236" s="10" t="s">
        <v>36</v>
      </c>
      <c r="H236" s="10" t="s">
        <v>41</v>
      </c>
      <c r="I236" s="10" t="s">
        <v>52</v>
      </c>
      <c r="J236" s="12">
        <v>12300</v>
      </c>
      <c r="K236" s="10">
        <v>3240</v>
      </c>
    </row>
    <row r="237" spans="1:11" hidden="1" x14ac:dyDescent="0.15">
      <c r="A237" s="30"/>
      <c r="B237" s="30"/>
      <c r="C237" s="5"/>
      <c r="D237" s="18">
        <v>41974</v>
      </c>
      <c r="E237" s="13" t="s">
        <v>55</v>
      </c>
      <c r="F237" s="15" t="s">
        <v>57</v>
      </c>
      <c r="G237" s="14" t="s">
        <v>13</v>
      </c>
      <c r="H237" s="14" t="s">
        <v>16</v>
      </c>
      <c r="I237" s="14" t="s">
        <v>45</v>
      </c>
      <c r="J237" s="16">
        <v>12650</v>
      </c>
      <c r="K237" s="14">
        <v>3380</v>
      </c>
    </row>
    <row r="238" spans="1:11" hidden="1" x14ac:dyDescent="0.15">
      <c r="A238" s="30"/>
      <c r="B238" s="30"/>
      <c r="C238" s="5"/>
      <c r="D238" s="17">
        <v>41797</v>
      </c>
      <c r="E238" s="9" t="s">
        <v>62</v>
      </c>
      <c r="F238" s="11" t="s">
        <v>57</v>
      </c>
      <c r="G238" s="10" t="s">
        <v>60</v>
      </c>
      <c r="H238" s="10" t="s">
        <v>41</v>
      </c>
      <c r="I238" s="10" t="s">
        <v>63</v>
      </c>
      <c r="J238" s="12">
        <v>12900</v>
      </c>
      <c r="K238" s="10">
        <v>4820</v>
      </c>
    </row>
    <row r="239" spans="1:11" hidden="1" x14ac:dyDescent="0.15">
      <c r="A239" s="30"/>
      <c r="B239" s="30"/>
      <c r="C239" s="5"/>
      <c r="D239" s="18">
        <v>41858</v>
      </c>
      <c r="E239" s="13" t="s">
        <v>33</v>
      </c>
      <c r="F239" s="15" t="s">
        <v>57</v>
      </c>
      <c r="G239" s="14" t="s">
        <v>47</v>
      </c>
      <c r="H239" s="14" t="s">
        <v>34</v>
      </c>
      <c r="I239" s="14" t="s">
        <v>21</v>
      </c>
      <c r="J239" s="16">
        <v>12900</v>
      </c>
      <c r="K239" s="14">
        <v>5100</v>
      </c>
    </row>
    <row r="240" spans="1:11" hidden="1" x14ac:dyDescent="0.15">
      <c r="A240" s="30"/>
      <c r="B240" s="30"/>
      <c r="C240" s="5"/>
      <c r="D240" s="17">
        <v>41911</v>
      </c>
      <c r="E240" s="9" t="s">
        <v>29</v>
      </c>
      <c r="F240" s="11" t="s">
        <v>57</v>
      </c>
      <c r="G240" s="10" t="s">
        <v>51</v>
      </c>
      <c r="H240" s="10" t="s">
        <v>42</v>
      </c>
      <c r="I240" s="10" t="s">
        <v>21</v>
      </c>
      <c r="J240" s="12">
        <v>11550</v>
      </c>
      <c r="K240" s="10">
        <v>4620</v>
      </c>
    </row>
    <row r="241" spans="1:11" hidden="1" x14ac:dyDescent="0.15">
      <c r="A241" s="30"/>
      <c r="B241" s="30"/>
      <c r="C241" s="5"/>
      <c r="D241" s="18">
        <v>41796</v>
      </c>
      <c r="E241" s="13" t="s">
        <v>62</v>
      </c>
      <c r="F241" s="15" t="s">
        <v>57</v>
      </c>
      <c r="G241" s="14" t="s">
        <v>61</v>
      </c>
      <c r="H241" s="14" t="s">
        <v>67</v>
      </c>
      <c r="I241" s="14" t="s">
        <v>21</v>
      </c>
      <c r="J241" s="16">
        <v>12400</v>
      </c>
      <c r="K241" s="14">
        <v>5100</v>
      </c>
    </row>
    <row r="242" spans="1:11" hidden="1" x14ac:dyDescent="0.15">
      <c r="A242" s="30"/>
      <c r="B242" s="30"/>
      <c r="C242" s="5"/>
      <c r="D242" s="17">
        <v>41758</v>
      </c>
      <c r="E242" s="9" t="s">
        <v>22</v>
      </c>
      <c r="F242" s="11" t="s">
        <v>57</v>
      </c>
      <c r="G242" s="10" t="s">
        <v>13</v>
      </c>
      <c r="H242" s="10" t="s">
        <v>16</v>
      </c>
      <c r="I242" s="10" t="s">
        <v>17</v>
      </c>
      <c r="J242" s="12">
        <v>14650</v>
      </c>
      <c r="K242" s="10">
        <v>5680</v>
      </c>
    </row>
    <row r="243" spans="1:11" x14ac:dyDescent="0.15">
      <c r="A243" s="30"/>
      <c r="B243" s="30"/>
      <c r="C243" s="5"/>
      <c r="D243" s="18">
        <v>41719</v>
      </c>
      <c r="E243" s="13" t="s">
        <v>12</v>
      </c>
      <c r="F243" s="15" t="s">
        <v>69</v>
      </c>
      <c r="G243" s="14" t="s">
        <v>30</v>
      </c>
      <c r="H243" s="14" t="s">
        <v>70</v>
      </c>
      <c r="I243" s="14" t="s">
        <v>17</v>
      </c>
      <c r="J243" s="16">
        <v>14600</v>
      </c>
      <c r="K243" s="14">
        <v>4420</v>
      </c>
    </row>
    <row r="244" spans="1:11" hidden="1" x14ac:dyDescent="0.15">
      <c r="A244" s="30"/>
      <c r="B244" s="30"/>
      <c r="C244" s="5"/>
      <c r="D244" s="17">
        <v>41848</v>
      </c>
      <c r="E244" s="9" t="s">
        <v>26</v>
      </c>
      <c r="F244" s="11" t="s">
        <v>57</v>
      </c>
      <c r="G244" s="10" t="s">
        <v>51</v>
      </c>
      <c r="H244" s="10" t="s">
        <v>25</v>
      </c>
      <c r="I244" s="10" t="s">
        <v>17</v>
      </c>
      <c r="J244" s="12">
        <v>13450</v>
      </c>
      <c r="K244" s="10">
        <v>5000</v>
      </c>
    </row>
    <row r="245" spans="1:11" hidden="1" x14ac:dyDescent="0.15">
      <c r="A245" s="30"/>
      <c r="B245" s="30"/>
      <c r="C245" s="5"/>
      <c r="D245" s="18">
        <v>41782</v>
      </c>
      <c r="E245" s="13" t="s">
        <v>53</v>
      </c>
      <c r="F245" s="15" t="s">
        <v>57</v>
      </c>
      <c r="G245" s="14" t="s">
        <v>9</v>
      </c>
      <c r="H245" s="14" t="s">
        <v>34</v>
      </c>
      <c r="I245" s="14" t="s">
        <v>17</v>
      </c>
      <c r="J245" s="16">
        <v>10000</v>
      </c>
      <c r="K245" s="14">
        <v>3180</v>
      </c>
    </row>
    <row r="246" spans="1:11" x14ac:dyDescent="0.15">
      <c r="A246" s="30"/>
      <c r="B246" s="30"/>
      <c r="C246" s="5"/>
      <c r="D246" s="17">
        <v>41715</v>
      </c>
      <c r="E246" s="9" t="s">
        <v>12</v>
      </c>
      <c r="F246" s="11" t="s">
        <v>69</v>
      </c>
      <c r="G246" s="10" t="s">
        <v>61</v>
      </c>
      <c r="H246" s="10" t="s">
        <v>67</v>
      </c>
      <c r="I246" s="10" t="s">
        <v>17</v>
      </c>
      <c r="J246" s="12">
        <v>13600</v>
      </c>
      <c r="K246" s="10">
        <v>4180</v>
      </c>
    </row>
    <row r="247" spans="1:11" hidden="1" x14ac:dyDescent="0.15">
      <c r="A247" s="30"/>
      <c r="B247" s="30"/>
      <c r="C247" s="5"/>
      <c r="D247" s="18">
        <v>41824</v>
      </c>
      <c r="E247" s="13" t="s">
        <v>26</v>
      </c>
      <c r="F247" s="15" t="s">
        <v>57</v>
      </c>
      <c r="G247" s="14" t="s">
        <v>30</v>
      </c>
      <c r="H247" s="14" t="s">
        <v>32</v>
      </c>
      <c r="I247" s="14" t="s">
        <v>63</v>
      </c>
      <c r="J247" s="16">
        <v>13550</v>
      </c>
      <c r="K247" s="14">
        <v>2460</v>
      </c>
    </row>
    <row r="248" spans="1:11" hidden="1" x14ac:dyDescent="0.15">
      <c r="A248" s="30"/>
      <c r="B248" s="30"/>
      <c r="C248" s="5"/>
      <c r="D248" s="17">
        <v>41743</v>
      </c>
      <c r="E248" s="9" t="s">
        <v>22</v>
      </c>
      <c r="F248" s="11" t="s">
        <v>57</v>
      </c>
      <c r="G248" s="10" t="s">
        <v>19</v>
      </c>
      <c r="H248" s="10" t="s">
        <v>20</v>
      </c>
      <c r="I248" s="10" t="s">
        <v>63</v>
      </c>
      <c r="J248" s="12">
        <v>14550</v>
      </c>
      <c r="K248" s="10">
        <v>2960</v>
      </c>
    </row>
    <row r="249" spans="1:11" x14ac:dyDescent="0.15">
      <c r="A249" s="30"/>
      <c r="B249" s="30"/>
      <c r="C249" s="5"/>
      <c r="D249" s="18">
        <v>41685</v>
      </c>
      <c r="E249" s="13" t="s">
        <v>18</v>
      </c>
      <c r="F249" s="15" t="s">
        <v>69</v>
      </c>
      <c r="G249" s="14" t="s">
        <v>61</v>
      </c>
      <c r="H249" s="14" t="s">
        <v>41</v>
      </c>
      <c r="I249" s="14" t="s">
        <v>52</v>
      </c>
      <c r="J249" s="16">
        <v>10850</v>
      </c>
      <c r="K249" s="14">
        <v>4160</v>
      </c>
    </row>
    <row r="250" spans="1:11" hidden="1" x14ac:dyDescent="0.15">
      <c r="A250" s="30"/>
      <c r="B250" s="30"/>
      <c r="C250" s="5"/>
      <c r="D250" s="17">
        <v>41835</v>
      </c>
      <c r="E250" s="9" t="s">
        <v>26</v>
      </c>
      <c r="F250" s="11" t="s">
        <v>57</v>
      </c>
      <c r="G250" s="10" t="s">
        <v>13</v>
      </c>
      <c r="H250" s="10" t="s">
        <v>16</v>
      </c>
      <c r="I250" s="10" t="s">
        <v>52</v>
      </c>
      <c r="J250" s="12">
        <v>12550</v>
      </c>
      <c r="K250" s="10">
        <v>2240</v>
      </c>
    </row>
    <row r="251" spans="1:11" hidden="1" x14ac:dyDescent="0.15">
      <c r="A251" s="30"/>
      <c r="B251" s="30"/>
      <c r="C251" s="5"/>
      <c r="D251" s="18">
        <v>41839</v>
      </c>
      <c r="E251" s="13" t="s">
        <v>26</v>
      </c>
      <c r="F251" s="15" t="s">
        <v>57</v>
      </c>
      <c r="G251" s="14" t="s">
        <v>28</v>
      </c>
      <c r="H251" s="14" t="s">
        <v>59</v>
      </c>
      <c r="I251" s="14" t="s">
        <v>21</v>
      </c>
      <c r="J251" s="16">
        <v>10300</v>
      </c>
      <c r="K251" s="14">
        <v>2180</v>
      </c>
    </row>
    <row r="252" spans="1:11" hidden="1" x14ac:dyDescent="0.15">
      <c r="A252" s="30"/>
      <c r="B252" s="30"/>
      <c r="C252" s="5"/>
      <c r="D252" s="17">
        <v>41913</v>
      </c>
      <c r="E252" s="9" t="s">
        <v>40</v>
      </c>
      <c r="F252" s="11" t="s">
        <v>57</v>
      </c>
      <c r="G252" s="10" t="s">
        <v>50</v>
      </c>
      <c r="H252" s="10" t="s">
        <v>41</v>
      </c>
      <c r="I252" s="10" t="s">
        <v>21</v>
      </c>
      <c r="J252" s="12">
        <v>10400</v>
      </c>
      <c r="K252" s="10">
        <v>4040</v>
      </c>
    </row>
    <row r="253" spans="1:11" hidden="1" x14ac:dyDescent="0.15">
      <c r="A253" s="30"/>
      <c r="B253" s="30"/>
      <c r="C253" s="5"/>
      <c r="D253" s="18">
        <v>41752</v>
      </c>
      <c r="E253" s="13" t="s">
        <v>22</v>
      </c>
      <c r="F253" s="15" t="s">
        <v>57</v>
      </c>
      <c r="G253" s="14" t="s">
        <v>13</v>
      </c>
      <c r="H253" s="14" t="s">
        <v>16</v>
      </c>
      <c r="I253" s="14" t="s">
        <v>48</v>
      </c>
      <c r="J253" s="16">
        <v>12050</v>
      </c>
      <c r="K253" s="14">
        <v>3760</v>
      </c>
    </row>
    <row r="254" spans="1:11" hidden="1" x14ac:dyDescent="0.15">
      <c r="A254" s="30"/>
      <c r="B254" s="30"/>
      <c r="C254" s="5"/>
      <c r="D254" s="17">
        <v>41810</v>
      </c>
      <c r="E254" s="9" t="s">
        <v>62</v>
      </c>
      <c r="F254" s="11" t="s">
        <v>57</v>
      </c>
      <c r="G254" s="10" t="s">
        <v>61</v>
      </c>
      <c r="H254" s="10" t="s">
        <v>41</v>
      </c>
      <c r="I254" s="10" t="s">
        <v>48</v>
      </c>
      <c r="J254" s="12">
        <v>14550</v>
      </c>
      <c r="K254" s="10">
        <v>4780</v>
      </c>
    </row>
    <row r="255" spans="1:11" hidden="1" x14ac:dyDescent="0.15">
      <c r="A255" s="30"/>
      <c r="B255" s="30"/>
      <c r="C255" s="5"/>
      <c r="D255" s="18">
        <v>41816</v>
      </c>
      <c r="E255" s="13" t="s">
        <v>62</v>
      </c>
      <c r="F255" s="15" t="s">
        <v>57</v>
      </c>
      <c r="G255" s="14" t="s">
        <v>60</v>
      </c>
      <c r="H255" s="14" t="s">
        <v>41</v>
      </c>
      <c r="I255" s="14" t="s">
        <v>48</v>
      </c>
      <c r="J255" s="16">
        <v>10700</v>
      </c>
      <c r="K255" s="14">
        <v>4980</v>
      </c>
    </row>
    <row r="256" spans="1:11" x14ac:dyDescent="0.15">
      <c r="A256" s="30"/>
      <c r="B256" s="30"/>
      <c r="C256" s="5"/>
      <c r="D256" s="17">
        <v>41684</v>
      </c>
      <c r="E256" s="9" t="s">
        <v>18</v>
      </c>
      <c r="F256" s="11" t="s">
        <v>69</v>
      </c>
      <c r="G256" s="10" t="s">
        <v>13</v>
      </c>
      <c r="H256" s="10" t="s">
        <v>54</v>
      </c>
      <c r="I256" s="10" t="s">
        <v>48</v>
      </c>
      <c r="J256" s="12">
        <v>10050</v>
      </c>
      <c r="K256" s="10">
        <v>5800</v>
      </c>
    </row>
    <row r="257" spans="1:11" hidden="1" x14ac:dyDescent="0.15">
      <c r="A257" s="30"/>
      <c r="B257" s="30"/>
      <c r="C257" s="5"/>
      <c r="D257" s="18">
        <v>41918</v>
      </c>
      <c r="E257" s="13" t="s">
        <v>40</v>
      </c>
      <c r="F257" s="15" t="s">
        <v>57</v>
      </c>
      <c r="G257" s="14" t="s">
        <v>60</v>
      </c>
      <c r="H257" s="14" t="s">
        <v>25</v>
      </c>
      <c r="I257" s="14" t="s">
        <v>21</v>
      </c>
      <c r="J257" s="16">
        <v>12900</v>
      </c>
      <c r="K257" s="14">
        <v>5640</v>
      </c>
    </row>
    <row r="258" spans="1:11" x14ac:dyDescent="0.15">
      <c r="A258" s="30"/>
      <c r="B258" s="30"/>
      <c r="C258" s="5"/>
      <c r="D258" s="17">
        <v>41689</v>
      </c>
      <c r="E258" s="9" t="s">
        <v>18</v>
      </c>
      <c r="F258" s="11" t="s">
        <v>69</v>
      </c>
      <c r="G258" s="10" t="s">
        <v>24</v>
      </c>
      <c r="H258" s="10" t="s">
        <v>44</v>
      </c>
      <c r="I258" s="10" t="s">
        <v>21</v>
      </c>
      <c r="J258" s="12">
        <v>14750</v>
      </c>
      <c r="K258" s="10">
        <v>3720</v>
      </c>
    </row>
    <row r="259" spans="1:11" x14ac:dyDescent="0.15">
      <c r="A259" s="30"/>
      <c r="B259" s="30"/>
      <c r="C259" s="5"/>
      <c r="D259" s="18">
        <v>41722</v>
      </c>
      <c r="E259" s="13" t="s">
        <v>12</v>
      </c>
      <c r="F259" s="15" t="s">
        <v>69</v>
      </c>
      <c r="G259" s="14" t="s">
        <v>51</v>
      </c>
      <c r="H259" s="14" t="s">
        <v>25</v>
      </c>
      <c r="I259" s="14" t="s">
        <v>39</v>
      </c>
      <c r="J259" s="16">
        <v>12900</v>
      </c>
      <c r="K259" s="14">
        <v>3620</v>
      </c>
    </row>
    <row r="260" spans="1:11" x14ac:dyDescent="0.15">
      <c r="A260" s="30"/>
      <c r="B260" s="30"/>
      <c r="C260" s="5"/>
      <c r="D260" s="17">
        <v>41666</v>
      </c>
      <c r="E260" s="9" t="s">
        <v>7</v>
      </c>
      <c r="F260" s="11" t="s">
        <v>69</v>
      </c>
      <c r="G260" s="10" t="s">
        <v>19</v>
      </c>
      <c r="H260" s="10" t="s">
        <v>20</v>
      </c>
      <c r="I260" s="10" t="s">
        <v>46</v>
      </c>
      <c r="J260" s="12">
        <v>10000</v>
      </c>
      <c r="K260" s="10">
        <v>2740</v>
      </c>
    </row>
    <row r="261" spans="1:11" hidden="1" x14ac:dyDescent="0.15">
      <c r="A261" s="30"/>
      <c r="B261" s="30"/>
      <c r="C261" s="5"/>
      <c r="D261" s="18">
        <v>41970</v>
      </c>
      <c r="E261" s="13" t="s">
        <v>49</v>
      </c>
      <c r="F261" s="15" t="s">
        <v>57</v>
      </c>
      <c r="G261" s="14" t="s">
        <v>24</v>
      </c>
      <c r="H261" s="14" t="s">
        <v>37</v>
      </c>
      <c r="I261" s="14" t="s">
        <v>48</v>
      </c>
      <c r="J261" s="16">
        <v>11700</v>
      </c>
      <c r="K261" s="14">
        <v>2540</v>
      </c>
    </row>
    <row r="262" spans="1:11" hidden="1" x14ac:dyDescent="0.15">
      <c r="A262" s="30"/>
      <c r="B262" s="30"/>
      <c r="C262" s="5"/>
      <c r="D262" s="17">
        <v>41977</v>
      </c>
      <c r="E262" s="9" t="s">
        <v>55</v>
      </c>
      <c r="F262" s="11" t="s">
        <v>57</v>
      </c>
      <c r="G262" s="10" t="s">
        <v>36</v>
      </c>
      <c r="H262" s="10" t="s">
        <v>37</v>
      </c>
      <c r="I262" s="10" t="s">
        <v>48</v>
      </c>
      <c r="J262" s="12">
        <v>13400</v>
      </c>
      <c r="K262" s="10">
        <v>2840</v>
      </c>
    </row>
    <row r="263" spans="1:11" hidden="1" x14ac:dyDescent="0.15">
      <c r="A263" s="30"/>
      <c r="B263" s="30"/>
      <c r="C263" s="5"/>
      <c r="D263" s="18">
        <v>41781</v>
      </c>
      <c r="E263" s="13" t="s">
        <v>53</v>
      </c>
      <c r="F263" s="15" t="s">
        <v>57</v>
      </c>
      <c r="G263" s="14" t="s">
        <v>13</v>
      </c>
      <c r="H263" s="14" t="s">
        <v>16</v>
      </c>
      <c r="I263" s="14" t="s">
        <v>48</v>
      </c>
      <c r="J263" s="16">
        <v>14550</v>
      </c>
      <c r="K263" s="14">
        <v>4280</v>
      </c>
    </row>
    <row r="264" spans="1:11" hidden="1" x14ac:dyDescent="0.15">
      <c r="A264" s="30"/>
      <c r="B264" s="30"/>
      <c r="C264" s="5"/>
      <c r="D264" s="17">
        <v>41967</v>
      </c>
      <c r="E264" s="9" t="s">
        <v>49</v>
      </c>
      <c r="F264" s="11" t="s">
        <v>57</v>
      </c>
      <c r="G264" s="10" t="s">
        <v>24</v>
      </c>
      <c r="H264" s="10" t="s">
        <v>44</v>
      </c>
      <c r="I264" s="10" t="s">
        <v>63</v>
      </c>
      <c r="J264" s="12">
        <v>13400</v>
      </c>
      <c r="K264" s="10">
        <v>3280</v>
      </c>
    </row>
    <row r="265" spans="1:11" x14ac:dyDescent="0.15">
      <c r="A265" s="30"/>
      <c r="B265" s="30"/>
      <c r="C265" s="5"/>
      <c r="D265" s="18">
        <v>41657</v>
      </c>
      <c r="E265" s="13" t="s">
        <v>7</v>
      </c>
      <c r="F265" s="15" t="s">
        <v>69</v>
      </c>
      <c r="G265" s="14" t="s">
        <v>51</v>
      </c>
      <c r="H265" s="14" t="s">
        <v>25</v>
      </c>
      <c r="I265" s="14" t="s">
        <v>46</v>
      </c>
      <c r="J265" s="16">
        <v>14900</v>
      </c>
      <c r="K265" s="14">
        <v>3340</v>
      </c>
    </row>
    <row r="266" spans="1:11" hidden="1" x14ac:dyDescent="0.15">
      <c r="A266" s="30"/>
      <c r="B266" s="30"/>
      <c r="C266" s="5"/>
      <c r="D266" s="17">
        <v>41782</v>
      </c>
      <c r="E266" s="9" t="s">
        <v>53</v>
      </c>
      <c r="F266" s="11" t="s">
        <v>57</v>
      </c>
      <c r="G266" s="10" t="s">
        <v>24</v>
      </c>
      <c r="H266" s="10" t="s">
        <v>37</v>
      </c>
      <c r="I266" s="10" t="s">
        <v>52</v>
      </c>
      <c r="J266" s="12">
        <v>11500</v>
      </c>
      <c r="K266" s="10">
        <v>4640</v>
      </c>
    </row>
    <row r="267" spans="1:11" x14ac:dyDescent="0.15">
      <c r="A267" s="30"/>
      <c r="B267" s="30"/>
      <c r="C267" s="5"/>
      <c r="D267" s="18">
        <v>41668</v>
      </c>
      <c r="E267" s="13" t="s">
        <v>7</v>
      </c>
      <c r="F267" s="15" t="s">
        <v>69</v>
      </c>
      <c r="G267" s="14" t="s">
        <v>28</v>
      </c>
      <c r="H267" s="14" t="s">
        <v>59</v>
      </c>
      <c r="I267" s="14" t="s">
        <v>45</v>
      </c>
      <c r="J267" s="16">
        <v>10100</v>
      </c>
      <c r="K267" s="14">
        <v>3780</v>
      </c>
    </row>
    <row r="268" spans="1:11" hidden="1" x14ac:dyDescent="0.15">
      <c r="A268" s="30"/>
      <c r="B268" s="30"/>
      <c r="C268" s="5"/>
      <c r="D268" s="17">
        <v>41846</v>
      </c>
      <c r="E268" s="9" t="s">
        <v>26</v>
      </c>
      <c r="F268" s="11" t="s">
        <v>57</v>
      </c>
      <c r="G268" s="10" t="s">
        <v>51</v>
      </c>
      <c r="H268" s="10" t="s">
        <v>25</v>
      </c>
      <c r="I268" s="10" t="s">
        <v>17</v>
      </c>
      <c r="J268" s="12">
        <v>12650</v>
      </c>
      <c r="K268" s="10">
        <v>2680</v>
      </c>
    </row>
    <row r="269" spans="1:11" x14ac:dyDescent="0.15">
      <c r="A269" s="30"/>
      <c r="B269" s="31"/>
      <c r="C269" s="32"/>
      <c r="D269" s="3"/>
      <c r="E269" s="3"/>
      <c r="F269" s="3"/>
      <c r="G269" s="3"/>
      <c r="K269" s="4"/>
    </row>
    <row r="270" spans="1:11" x14ac:dyDescent="0.15">
      <c r="A270" s="6"/>
      <c r="B270" s="3"/>
      <c r="C270" s="32"/>
      <c r="D270" s="3"/>
      <c r="E270" s="3"/>
      <c r="F270" s="3"/>
      <c r="G270" s="3"/>
      <c r="K270" s="4"/>
    </row>
    <row r="271" spans="1:11" x14ac:dyDescent="0.15">
      <c r="A271" s="6"/>
      <c r="B271" s="3"/>
      <c r="C271" s="32"/>
      <c r="D271" s="3"/>
      <c r="E271" s="3"/>
      <c r="F271" s="3"/>
      <c r="G271" s="3"/>
      <c r="K271" s="4"/>
    </row>
    <row r="272" spans="1:11" x14ac:dyDescent="0.15">
      <c r="A272" s="6"/>
      <c r="B272" s="3"/>
      <c r="C272" s="32"/>
      <c r="D272" s="3"/>
      <c r="E272" s="3"/>
      <c r="F272" s="3"/>
      <c r="G272" s="3"/>
      <c r="K272" s="4"/>
    </row>
    <row r="273" spans="1:11" x14ac:dyDescent="0.15">
      <c r="A273" s="6"/>
      <c r="B273" s="3"/>
      <c r="C273" s="32"/>
      <c r="D273" s="3"/>
      <c r="E273" s="3"/>
      <c r="F273" s="3"/>
      <c r="G273" s="3"/>
      <c r="K273" s="4"/>
    </row>
    <row r="274" spans="1:11" x14ac:dyDescent="0.15">
      <c r="A274" s="6"/>
      <c r="B274" s="3"/>
      <c r="C274" s="32"/>
      <c r="D274" s="3"/>
      <c r="E274" s="3"/>
      <c r="F274" s="3"/>
      <c r="G274" s="3"/>
      <c r="K274" s="4"/>
    </row>
    <row r="275" spans="1:11" x14ac:dyDescent="0.15">
      <c r="A275" s="6"/>
      <c r="B275" s="3"/>
      <c r="C275" s="32"/>
      <c r="D275" s="3"/>
      <c r="E275" s="3"/>
      <c r="F275" s="3"/>
      <c r="G275" s="3"/>
      <c r="K275" s="4"/>
    </row>
    <row r="276" spans="1:11" x14ac:dyDescent="0.15">
      <c r="A276" s="6"/>
      <c r="C276" s="5"/>
    </row>
  </sheetData>
  <mergeCells count="1">
    <mergeCell ref="D1:H1"/>
  </mergeCells>
  <pageMargins left="0.7" right="0.7" top="0.75" bottom="0.75" header="0.3" footer="0.3"/>
  <pageSetup orientation="portrait" horizontalDpi="90" verticalDpi="9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061FC-2C2A-4531-BBC8-8A2EEAEC7A6B}">
  <sheetPr>
    <tabColor rgb="FF0070C0"/>
  </sheetPr>
  <dimension ref="A1:W135"/>
  <sheetViews>
    <sheetView tabSelected="1" zoomScale="80" zoomScaleNormal="80" workbookViewId="0">
      <selection activeCell="S3" sqref="S3"/>
    </sheetView>
  </sheetViews>
  <sheetFormatPr baseColWidth="10" defaultColWidth="8.7109375" defaultRowHeight="15" x14ac:dyDescent="0.15"/>
  <cols>
    <col min="1" max="1" width="21.42578125" customWidth="1"/>
    <col min="2" max="2" width="20" customWidth="1"/>
    <col min="3" max="3" width="1.140625" customWidth="1"/>
    <col min="4" max="4" width="13.140625" customWidth="1"/>
    <col min="18" max="18" width="21.42578125" customWidth="1"/>
    <col min="19" max="19" width="19" customWidth="1"/>
  </cols>
  <sheetData>
    <row r="1" spans="1:23" ht="39.5" customHeight="1" x14ac:dyDescent="0.15">
      <c r="A1" s="8"/>
      <c r="B1" s="8"/>
      <c r="C1" s="8"/>
      <c r="D1" s="8"/>
      <c r="E1" s="8"/>
      <c r="F1" s="8"/>
      <c r="G1" s="34" t="s">
        <v>73</v>
      </c>
      <c r="H1" s="34"/>
      <c r="I1" s="34"/>
      <c r="J1" s="34"/>
      <c r="K1" s="34"/>
      <c r="L1" s="34"/>
      <c r="M1" s="34"/>
      <c r="N1" s="34"/>
      <c r="O1" s="34"/>
      <c r="P1" s="34"/>
      <c r="Q1" s="8"/>
      <c r="R1" s="8"/>
      <c r="S1" s="8"/>
      <c r="T1" s="8"/>
      <c r="U1" s="8"/>
      <c r="V1" s="8"/>
      <c r="W1" s="8"/>
    </row>
    <row r="2" spans="1:23" ht="11.5" customHeight="1" x14ac:dyDescent="0.15">
      <c r="A2" s="1"/>
      <c r="B2" s="1"/>
      <c r="C2" s="1"/>
      <c r="D2" s="1"/>
      <c r="E2" s="1"/>
      <c r="F2" s="1"/>
      <c r="G2" s="1"/>
      <c r="H2" s="1"/>
      <c r="I2" s="1"/>
      <c r="J2" s="1"/>
      <c r="K2" s="1"/>
      <c r="L2" s="1"/>
      <c r="M2" s="1"/>
      <c r="N2" s="1"/>
      <c r="O2" s="1"/>
      <c r="P2" s="1"/>
      <c r="Q2" s="1"/>
      <c r="R2" s="1"/>
      <c r="S2" s="1"/>
      <c r="T2" s="1"/>
      <c r="U2" s="1"/>
      <c r="V2" s="1"/>
      <c r="W2" s="1"/>
    </row>
    <row r="3" spans="1:23" ht="25.25" customHeight="1" x14ac:dyDescent="0.2">
      <c r="A3" s="1"/>
      <c r="B3" s="1"/>
      <c r="C3" s="1"/>
      <c r="D3" s="1"/>
      <c r="E3" s="1"/>
      <c r="F3" s="1"/>
      <c r="G3" s="1"/>
      <c r="H3" s="1"/>
      <c r="I3" s="1"/>
      <c r="J3" s="1"/>
      <c r="K3" s="1"/>
      <c r="L3" s="1"/>
      <c r="M3" s="1"/>
      <c r="N3" s="1"/>
      <c r="O3" s="1"/>
      <c r="P3" s="1"/>
      <c r="Q3" s="1"/>
      <c r="R3" s="21" t="s">
        <v>74</v>
      </c>
      <c r="S3" s="22">
        <f>SUBTOTAL(9,Sales_data[Profit])</f>
        <v>88440</v>
      </c>
      <c r="T3" s="1"/>
      <c r="U3" s="1"/>
      <c r="V3" s="1"/>
      <c r="W3" s="1"/>
    </row>
    <row r="4" spans="1:23" ht="25.25" customHeight="1" x14ac:dyDescent="0.2">
      <c r="A4" s="1"/>
      <c r="B4" s="1"/>
      <c r="C4" s="1"/>
      <c r="D4" s="1"/>
      <c r="E4" s="1"/>
      <c r="F4" s="1"/>
      <c r="G4" s="1"/>
      <c r="H4" s="1"/>
      <c r="I4" s="1"/>
      <c r="J4" s="1"/>
      <c r="K4" s="1"/>
      <c r="L4" s="1"/>
      <c r="M4" s="1"/>
      <c r="N4" s="1"/>
      <c r="O4" s="1"/>
      <c r="P4" s="1"/>
      <c r="Q4" s="1"/>
      <c r="R4" s="21" t="s">
        <v>75</v>
      </c>
      <c r="S4" s="22">
        <f>SUBTOTAL(4,Sales_data[Sales])</f>
        <v>14950</v>
      </c>
      <c r="T4" s="1"/>
      <c r="U4" s="1"/>
      <c r="V4" s="1"/>
      <c r="W4" s="1"/>
    </row>
    <row r="5" spans="1:23" ht="25.25" customHeight="1" x14ac:dyDescent="0.2">
      <c r="A5" s="1"/>
      <c r="B5" s="1"/>
      <c r="C5" s="1"/>
      <c r="D5" s="1"/>
      <c r="E5" s="1"/>
      <c r="F5" s="1"/>
      <c r="G5" s="1"/>
      <c r="H5" s="1"/>
      <c r="I5" s="1"/>
      <c r="J5" s="1"/>
      <c r="K5" s="1"/>
      <c r="L5" s="1"/>
      <c r="M5" s="1"/>
      <c r="N5" s="1"/>
      <c r="O5" s="1"/>
      <c r="P5" s="1"/>
      <c r="Q5" s="1"/>
      <c r="R5" s="21" t="s">
        <v>76</v>
      </c>
      <c r="S5" s="22">
        <f>SUBTOTAL(5,Sales_data[Sales])</f>
        <v>10000</v>
      </c>
      <c r="T5" s="1"/>
      <c r="U5" s="1"/>
      <c r="V5" s="1"/>
      <c r="W5" s="1"/>
    </row>
    <row r="6" spans="1:23" ht="25.25" customHeight="1" x14ac:dyDescent="0.2">
      <c r="A6" s="1"/>
      <c r="B6" s="1"/>
      <c r="C6" s="1"/>
      <c r="D6" s="1"/>
      <c r="E6" s="1"/>
      <c r="F6" s="1"/>
      <c r="G6" s="1"/>
      <c r="H6" s="1"/>
      <c r="I6" s="1"/>
      <c r="J6" s="1"/>
      <c r="K6" s="1"/>
      <c r="L6" s="1"/>
      <c r="M6" s="1"/>
      <c r="N6" s="1"/>
      <c r="O6" s="1"/>
      <c r="P6" s="1"/>
      <c r="Q6" s="1"/>
      <c r="R6" s="21" t="s">
        <v>77</v>
      </c>
      <c r="S6" s="22">
        <f>SUBTOTAL(1,Sales_data[Sales])</f>
        <v>12321.739130434782</v>
      </c>
      <c r="T6" s="1"/>
      <c r="U6" s="1"/>
      <c r="V6" s="1"/>
      <c r="W6" s="1"/>
    </row>
    <row r="7" spans="1:23" ht="25.25" customHeight="1" x14ac:dyDescent="0.2">
      <c r="A7" s="1"/>
      <c r="B7" s="1"/>
      <c r="C7" s="1"/>
      <c r="D7" s="1"/>
      <c r="E7" s="1"/>
      <c r="F7" s="1"/>
      <c r="G7" s="1"/>
      <c r="H7" s="1"/>
      <c r="I7" s="1"/>
      <c r="J7" s="1"/>
      <c r="K7" s="1"/>
      <c r="L7" s="1"/>
      <c r="M7" s="1"/>
      <c r="N7" s="1"/>
      <c r="O7" s="1"/>
      <c r="P7" s="1"/>
      <c r="Q7" s="1"/>
      <c r="R7" s="21" t="s">
        <v>78</v>
      </c>
      <c r="S7" s="23">
        <f>SUBTOTAL(2,Sales_data[Sales])</f>
        <v>23</v>
      </c>
      <c r="T7" s="1"/>
      <c r="U7" s="1"/>
      <c r="V7" s="1"/>
      <c r="W7" s="1"/>
    </row>
    <row r="8" spans="1:23" ht="8.5" customHeight="1" x14ac:dyDescent="0.15">
      <c r="A8" s="1"/>
      <c r="B8" s="1"/>
      <c r="C8" s="1"/>
      <c r="D8" s="1"/>
      <c r="E8" s="1"/>
      <c r="F8" s="1"/>
      <c r="G8" s="1"/>
      <c r="H8" s="1"/>
      <c r="I8" s="1"/>
      <c r="J8" s="1"/>
      <c r="K8" s="1"/>
      <c r="L8" s="1"/>
      <c r="M8" s="1"/>
      <c r="N8" s="1"/>
      <c r="O8" s="1"/>
      <c r="P8" s="1"/>
      <c r="Q8" s="1"/>
      <c r="R8" s="1"/>
      <c r="S8" s="1"/>
      <c r="T8" s="1"/>
      <c r="U8" s="1"/>
      <c r="V8" s="1"/>
      <c r="W8" s="1"/>
    </row>
    <row r="9" spans="1:23" x14ac:dyDescent="0.15">
      <c r="A9" s="5"/>
      <c r="B9" s="5"/>
      <c r="C9" s="5"/>
      <c r="D9" s="5"/>
      <c r="E9" s="5"/>
      <c r="F9" s="5"/>
      <c r="G9" s="5"/>
      <c r="H9" s="5"/>
      <c r="I9" s="5"/>
      <c r="J9" s="5"/>
      <c r="K9" s="5"/>
      <c r="L9" s="5"/>
      <c r="M9" s="5"/>
      <c r="N9" s="5"/>
      <c r="O9" s="5"/>
      <c r="P9" s="5"/>
      <c r="Q9" s="5"/>
      <c r="R9" s="5"/>
      <c r="S9" s="5"/>
      <c r="T9" s="5"/>
      <c r="U9" s="5"/>
      <c r="V9" s="5"/>
      <c r="W9" s="5"/>
    </row>
    <row r="10" spans="1:23" x14ac:dyDescent="0.15">
      <c r="A10" s="5"/>
      <c r="B10" s="5"/>
      <c r="C10" s="5"/>
      <c r="D10" s="5"/>
      <c r="E10" s="5"/>
      <c r="F10" s="5"/>
      <c r="G10" s="5"/>
      <c r="H10" s="5"/>
      <c r="I10" s="5"/>
      <c r="J10" s="5"/>
      <c r="K10" s="5"/>
      <c r="L10" s="5"/>
      <c r="M10" s="5"/>
      <c r="N10" s="5"/>
      <c r="O10" s="5"/>
      <c r="P10" s="5"/>
      <c r="Q10" s="5"/>
      <c r="R10" s="5"/>
      <c r="S10" s="5"/>
      <c r="T10" s="5"/>
      <c r="U10" s="5"/>
      <c r="V10" s="5"/>
      <c r="W10" s="5"/>
    </row>
    <row r="11" spans="1:23" ht="22.25" customHeight="1" x14ac:dyDescent="0.15">
      <c r="A11" s="5"/>
      <c r="B11" s="5"/>
      <c r="C11" s="5"/>
      <c r="D11" s="5"/>
      <c r="E11" s="5"/>
      <c r="F11" s="5"/>
      <c r="G11" s="5"/>
      <c r="H11" s="5"/>
      <c r="I11" s="5"/>
      <c r="J11" s="5"/>
      <c r="K11" s="5"/>
      <c r="L11" s="5"/>
      <c r="M11" s="5"/>
      <c r="N11" s="5"/>
      <c r="O11" s="5"/>
      <c r="P11" s="5"/>
      <c r="Q11" s="5"/>
      <c r="R11" s="5"/>
      <c r="S11" s="5"/>
      <c r="T11" s="5"/>
      <c r="U11" s="5"/>
      <c r="V11" s="5"/>
      <c r="W11" s="5"/>
    </row>
    <row r="12" spans="1:23" x14ac:dyDescent="0.15">
      <c r="A12" s="5"/>
      <c r="B12" s="5"/>
      <c r="C12" s="5"/>
      <c r="D12" s="5"/>
      <c r="E12" s="5"/>
      <c r="F12" s="5"/>
      <c r="G12" s="5"/>
      <c r="H12" s="5"/>
      <c r="I12" s="5"/>
      <c r="J12" s="5"/>
      <c r="K12" s="5"/>
      <c r="L12" s="5"/>
      <c r="M12" s="5"/>
      <c r="N12" s="5"/>
      <c r="O12" s="5"/>
      <c r="P12" s="5"/>
      <c r="Q12" s="5"/>
      <c r="R12" s="5"/>
      <c r="S12" s="5"/>
      <c r="T12" s="5"/>
      <c r="U12" s="5"/>
      <c r="V12" s="5"/>
      <c r="W12" s="5"/>
    </row>
    <row r="13" spans="1:23" x14ac:dyDescent="0.15">
      <c r="A13" s="5"/>
      <c r="B13" s="5"/>
      <c r="C13" s="5"/>
      <c r="D13" s="5"/>
      <c r="E13" s="5"/>
      <c r="F13" s="5"/>
      <c r="G13" s="5"/>
      <c r="H13" s="5"/>
      <c r="I13" s="5"/>
      <c r="J13" s="5"/>
      <c r="K13" s="5"/>
      <c r="L13" s="5"/>
      <c r="M13" s="5"/>
      <c r="N13" s="5"/>
      <c r="O13" s="5"/>
      <c r="P13" s="5"/>
      <c r="Q13" s="5"/>
      <c r="R13" s="5"/>
      <c r="S13" s="5"/>
      <c r="T13" s="5"/>
      <c r="U13" s="5"/>
      <c r="V13" s="5"/>
      <c r="W13" s="5"/>
    </row>
    <row r="14" spans="1:23" x14ac:dyDescent="0.15">
      <c r="A14" s="5"/>
      <c r="B14" s="5"/>
      <c r="C14" s="5"/>
      <c r="D14" s="5"/>
      <c r="E14" s="5"/>
      <c r="F14" s="5"/>
      <c r="G14" s="5"/>
      <c r="H14" s="5"/>
      <c r="I14" s="5"/>
      <c r="J14" s="5"/>
      <c r="K14" s="5"/>
      <c r="L14" s="5"/>
      <c r="M14" s="5"/>
      <c r="N14" s="5"/>
      <c r="O14" s="5"/>
      <c r="P14" s="5"/>
      <c r="Q14" s="5"/>
      <c r="R14" s="5"/>
      <c r="S14" s="5"/>
      <c r="T14" s="5"/>
      <c r="U14" s="5"/>
      <c r="V14" s="5"/>
      <c r="W14" s="5"/>
    </row>
    <row r="15" spans="1:23" x14ac:dyDescent="0.15">
      <c r="A15" s="5"/>
      <c r="B15" s="5"/>
      <c r="C15" s="5"/>
      <c r="D15" s="5"/>
      <c r="E15" s="5"/>
      <c r="F15" s="5"/>
      <c r="G15" s="5"/>
      <c r="H15" s="5"/>
      <c r="I15" s="5"/>
      <c r="J15" s="5"/>
      <c r="K15" s="5"/>
      <c r="L15" s="5"/>
      <c r="M15" s="5"/>
      <c r="N15" s="5"/>
      <c r="O15" s="5"/>
      <c r="P15" s="5"/>
      <c r="Q15" s="5"/>
      <c r="R15" s="5"/>
      <c r="S15" s="5"/>
      <c r="T15" s="5"/>
      <c r="U15" s="5"/>
      <c r="V15" s="5"/>
      <c r="W15" s="5"/>
    </row>
    <row r="16" spans="1:23" x14ac:dyDescent="0.15">
      <c r="A16" s="5"/>
      <c r="B16" s="5"/>
      <c r="C16" s="5"/>
      <c r="D16" s="5"/>
      <c r="E16" s="5"/>
      <c r="F16" s="5"/>
      <c r="G16" s="5"/>
      <c r="H16" s="5"/>
      <c r="I16" s="5"/>
      <c r="J16" s="5"/>
      <c r="K16" s="5"/>
      <c r="L16" s="5"/>
      <c r="M16" s="5"/>
      <c r="N16" s="5"/>
      <c r="O16" s="5"/>
      <c r="P16" s="5"/>
      <c r="Q16" s="5"/>
      <c r="R16" s="5"/>
      <c r="S16" s="5"/>
      <c r="T16" s="5"/>
      <c r="U16" s="5"/>
      <c r="V16" s="5"/>
      <c r="W16" s="5"/>
    </row>
    <row r="17" spans="1:23" ht="37.75" customHeight="1" x14ac:dyDescent="0.15">
      <c r="A17" s="5"/>
      <c r="B17" s="5"/>
      <c r="C17" s="5"/>
      <c r="D17" s="5"/>
      <c r="E17" s="5"/>
      <c r="F17" s="5"/>
      <c r="G17" s="5"/>
      <c r="H17" s="5"/>
      <c r="I17" s="5"/>
      <c r="J17" s="5"/>
      <c r="K17" s="5"/>
      <c r="L17" s="5"/>
      <c r="M17" s="5"/>
      <c r="N17" s="5"/>
      <c r="O17" s="5"/>
      <c r="P17" s="5"/>
      <c r="Q17" s="5"/>
      <c r="R17" s="5"/>
      <c r="S17" s="5"/>
      <c r="T17" s="5"/>
      <c r="U17" s="5"/>
      <c r="V17" s="5"/>
      <c r="W17" s="5"/>
    </row>
    <row r="18" spans="1:23" x14ac:dyDescent="0.15">
      <c r="A18" s="5"/>
      <c r="B18" s="5"/>
      <c r="C18" s="5"/>
      <c r="D18" s="5"/>
      <c r="E18" s="5"/>
      <c r="F18" s="5"/>
      <c r="G18" s="5"/>
      <c r="H18" s="5"/>
      <c r="I18" s="5"/>
      <c r="J18" s="5"/>
      <c r="K18" s="5"/>
      <c r="L18" s="5"/>
      <c r="M18" s="5"/>
      <c r="N18" s="5"/>
      <c r="O18" s="5"/>
      <c r="P18" s="5"/>
      <c r="Q18" s="5"/>
      <c r="R18" s="5"/>
      <c r="S18" s="5"/>
      <c r="T18" s="5"/>
      <c r="U18" s="5"/>
      <c r="V18" s="5"/>
      <c r="W18" s="5"/>
    </row>
    <row r="19" spans="1:23" x14ac:dyDescent="0.15">
      <c r="A19" s="5"/>
      <c r="B19" s="5"/>
      <c r="C19" s="5"/>
      <c r="D19" s="5"/>
      <c r="E19" s="5"/>
      <c r="F19" s="5"/>
      <c r="G19" s="5"/>
      <c r="H19" s="5"/>
      <c r="I19" s="5"/>
      <c r="J19" s="5"/>
      <c r="K19" s="5"/>
      <c r="L19" s="5"/>
      <c r="M19" s="5"/>
      <c r="N19" s="5"/>
      <c r="O19" s="5"/>
      <c r="P19" s="5"/>
      <c r="Q19" s="5"/>
      <c r="R19" s="5"/>
      <c r="S19" s="5"/>
      <c r="T19" s="5"/>
      <c r="U19" s="5"/>
      <c r="V19" s="5"/>
      <c r="W19" s="5"/>
    </row>
    <row r="20" spans="1:23" x14ac:dyDescent="0.15">
      <c r="A20" s="5"/>
      <c r="B20" s="5"/>
      <c r="C20" s="5"/>
      <c r="D20" s="5"/>
      <c r="E20" s="5"/>
      <c r="F20" s="5"/>
      <c r="G20" s="5"/>
      <c r="H20" s="5"/>
      <c r="I20" s="5"/>
      <c r="J20" s="5"/>
      <c r="K20" s="5"/>
      <c r="L20" s="5"/>
      <c r="M20" s="5"/>
      <c r="N20" s="5"/>
      <c r="O20" s="5"/>
      <c r="P20" s="5"/>
      <c r="Q20" s="5"/>
      <c r="R20" s="5"/>
      <c r="S20" s="5"/>
      <c r="T20" s="5"/>
      <c r="U20" s="5"/>
      <c r="V20" s="5"/>
      <c r="W20" s="5"/>
    </row>
    <row r="21" spans="1:23" x14ac:dyDescent="0.15">
      <c r="A21" s="5"/>
      <c r="B21" s="5"/>
      <c r="C21" s="5"/>
      <c r="D21" s="5"/>
      <c r="E21" s="5"/>
      <c r="F21" s="5"/>
      <c r="G21" s="5"/>
      <c r="H21" s="5"/>
      <c r="I21" s="5"/>
      <c r="J21" s="5"/>
      <c r="K21" s="5"/>
      <c r="L21" s="5"/>
      <c r="M21" s="5"/>
      <c r="N21" s="5"/>
      <c r="O21" s="5"/>
      <c r="P21" s="5"/>
      <c r="Q21" s="5"/>
      <c r="R21" s="5"/>
      <c r="S21" s="5"/>
      <c r="T21" s="5"/>
      <c r="U21" s="5"/>
      <c r="V21" s="5"/>
      <c r="W21" s="5"/>
    </row>
    <row r="22" spans="1:23" x14ac:dyDescent="0.15">
      <c r="A22" s="5"/>
      <c r="B22" s="5"/>
      <c r="C22" s="5"/>
      <c r="D22" s="5"/>
      <c r="E22" s="5"/>
      <c r="F22" s="5"/>
      <c r="G22" s="5"/>
      <c r="H22" s="5"/>
      <c r="I22" s="5"/>
      <c r="J22" s="5"/>
      <c r="K22" s="5"/>
      <c r="L22" s="5"/>
      <c r="M22" s="5"/>
      <c r="N22" s="5"/>
      <c r="O22" s="5"/>
      <c r="P22" s="5"/>
      <c r="Q22" s="5"/>
      <c r="R22" s="5"/>
      <c r="S22" s="5"/>
      <c r="T22" s="5"/>
      <c r="U22" s="5"/>
      <c r="V22" s="5"/>
      <c r="W22" s="5"/>
    </row>
    <row r="23" spans="1:23" x14ac:dyDescent="0.15">
      <c r="A23" s="5"/>
      <c r="B23" s="5"/>
      <c r="C23" s="5"/>
      <c r="D23" s="5"/>
      <c r="E23" s="5"/>
      <c r="F23" s="5"/>
      <c r="G23" s="5"/>
      <c r="H23" s="5"/>
      <c r="I23" s="5"/>
      <c r="J23" s="5"/>
      <c r="K23" s="5"/>
      <c r="L23" s="5"/>
      <c r="M23" s="5"/>
      <c r="N23" s="5"/>
      <c r="O23" s="5"/>
      <c r="P23" s="5"/>
      <c r="Q23" s="5"/>
      <c r="R23" s="5"/>
      <c r="S23" s="5"/>
      <c r="T23" s="5"/>
      <c r="U23" s="5"/>
      <c r="V23" s="5"/>
      <c r="W23" s="5"/>
    </row>
    <row r="24" spans="1:23" x14ac:dyDescent="0.15">
      <c r="A24" s="5"/>
      <c r="B24" s="5"/>
      <c r="C24" s="5"/>
      <c r="D24" s="5"/>
      <c r="E24" s="5"/>
      <c r="F24" s="5"/>
      <c r="G24" s="5"/>
      <c r="H24" s="5"/>
      <c r="I24" s="5"/>
      <c r="J24" s="5"/>
      <c r="K24" s="5"/>
      <c r="L24" s="5"/>
      <c r="M24" s="5"/>
      <c r="N24" s="5"/>
      <c r="O24" s="5"/>
      <c r="P24" s="5"/>
      <c r="Q24" s="5"/>
      <c r="R24" s="5"/>
      <c r="S24" s="5"/>
      <c r="T24" s="5"/>
      <c r="U24" s="5"/>
      <c r="V24" s="5"/>
      <c r="W24" s="5"/>
    </row>
    <row r="25" spans="1:23" x14ac:dyDescent="0.15">
      <c r="A25" s="5"/>
      <c r="B25" s="5"/>
      <c r="C25" s="5"/>
      <c r="D25" s="5"/>
      <c r="E25" s="5"/>
      <c r="F25" s="5"/>
      <c r="G25" s="5"/>
      <c r="H25" s="5"/>
      <c r="I25" s="5"/>
      <c r="J25" s="5"/>
      <c r="K25" s="5"/>
      <c r="L25" s="5"/>
      <c r="M25" s="5"/>
      <c r="N25" s="5"/>
      <c r="O25" s="5"/>
      <c r="P25" s="5"/>
      <c r="Q25" s="5"/>
      <c r="R25" s="5"/>
      <c r="S25" s="5"/>
      <c r="T25" s="5"/>
      <c r="U25" s="5"/>
      <c r="V25" s="5"/>
      <c r="W25" s="5"/>
    </row>
    <row r="26" spans="1:23" x14ac:dyDescent="0.15">
      <c r="A26" s="5"/>
      <c r="B26" s="5"/>
      <c r="C26" s="5"/>
      <c r="D26" s="5"/>
      <c r="E26" s="5"/>
      <c r="F26" s="5"/>
      <c r="G26" s="5"/>
      <c r="H26" s="5"/>
      <c r="I26" s="5"/>
      <c r="J26" s="5"/>
      <c r="K26" s="5"/>
      <c r="L26" s="5"/>
      <c r="M26" s="5"/>
      <c r="N26" s="5"/>
      <c r="O26" s="5"/>
      <c r="P26" s="5"/>
      <c r="Q26" s="5"/>
      <c r="R26" s="5"/>
      <c r="S26" s="5"/>
      <c r="T26" s="5"/>
      <c r="U26" s="5"/>
      <c r="V26" s="5"/>
      <c r="W26" s="5"/>
    </row>
    <row r="27" spans="1:23" x14ac:dyDescent="0.15">
      <c r="A27" s="5"/>
      <c r="B27" s="5"/>
      <c r="C27" s="5"/>
      <c r="D27" s="5"/>
      <c r="E27" s="5"/>
      <c r="F27" s="5"/>
      <c r="G27" s="5"/>
      <c r="H27" s="5"/>
      <c r="I27" s="5"/>
      <c r="J27" s="5"/>
      <c r="K27" s="5"/>
      <c r="L27" s="5"/>
      <c r="M27" s="5"/>
      <c r="N27" s="5"/>
      <c r="O27" s="5"/>
      <c r="P27" s="5"/>
      <c r="Q27" s="5"/>
      <c r="R27" s="5"/>
      <c r="S27" s="5"/>
      <c r="T27" s="5"/>
      <c r="U27" s="5"/>
      <c r="V27" s="5"/>
      <c r="W27" s="5"/>
    </row>
    <row r="28" spans="1:23" x14ac:dyDescent="0.15">
      <c r="A28" s="5"/>
      <c r="B28" s="5"/>
      <c r="C28" s="5"/>
      <c r="D28" s="5"/>
      <c r="E28" s="5"/>
      <c r="F28" s="5"/>
      <c r="G28" s="5"/>
      <c r="H28" s="5"/>
      <c r="I28" s="5"/>
      <c r="J28" s="5"/>
      <c r="K28" s="5"/>
      <c r="L28" s="5"/>
      <c r="M28" s="5"/>
      <c r="N28" s="5"/>
      <c r="O28" s="5"/>
      <c r="P28" s="5"/>
      <c r="Q28" s="5"/>
      <c r="R28" s="5"/>
      <c r="S28" s="5"/>
      <c r="T28" s="5"/>
      <c r="U28" s="5"/>
      <c r="V28" s="5"/>
      <c r="W28" s="5"/>
    </row>
    <row r="29" spans="1:23" x14ac:dyDescent="0.15">
      <c r="A29" s="5"/>
      <c r="B29" s="5"/>
      <c r="C29" s="5"/>
      <c r="D29" s="5"/>
      <c r="E29" s="5"/>
      <c r="F29" s="5"/>
      <c r="G29" s="5"/>
      <c r="H29" s="5"/>
      <c r="I29" s="5"/>
      <c r="J29" s="5"/>
      <c r="K29" s="5"/>
      <c r="L29" s="5"/>
      <c r="M29" s="5"/>
      <c r="N29" s="5"/>
      <c r="O29" s="5"/>
      <c r="P29" s="5"/>
      <c r="Q29" s="5"/>
      <c r="R29" s="5"/>
      <c r="S29" s="5"/>
      <c r="T29" s="5"/>
      <c r="U29" s="5"/>
      <c r="V29" s="5"/>
      <c r="W29" s="5"/>
    </row>
    <row r="30" spans="1:23" x14ac:dyDescent="0.15">
      <c r="A30" s="5"/>
      <c r="B30" s="5"/>
      <c r="C30" s="5"/>
      <c r="D30" s="5"/>
      <c r="E30" s="5"/>
      <c r="F30" s="5"/>
      <c r="G30" s="5"/>
      <c r="H30" s="5"/>
      <c r="I30" s="5"/>
      <c r="J30" s="5"/>
      <c r="K30" s="5"/>
      <c r="L30" s="5"/>
      <c r="M30" s="5"/>
      <c r="N30" s="5"/>
      <c r="O30" s="5"/>
      <c r="P30" s="5"/>
      <c r="Q30" s="5"/>
      <c r="R30" s="5"/>
      <c r="S30" s="5"/>
      <c r="T30" s="5"/>
      <c r="U30" s="5"/>
      <c r="V30" s="5"/>
      <c r="W30" s="5"/>
    </row>
    <row r="31" spans="1:23" x14ac:dyDescent="0.15">
      <c r="A31" s="5"/>
      <c r="B31" s="5"/>
      <c r="C31" s="5"/>
      <c r="D31" s="5"/>
      <c r="E31" s="5"/>
      <c r="F31" s="5"/>
      <c r="G31" s="5"/>
      <c r="H31" s="5"/>
      <c r="I31" s="5"/>
      <c r="J31" s="5"/>
      <c r="K31" s="5"/>
      <c r="L31" s="5"/>
      <c r="M31" s="5"/>
      <c r="N31" s="5"/>
      <c r="O31" s="5"/>
      <c r="P31" s="5"/>
      <c r="Q31" s="5"/>
      <c r="R31" s="5"/>
      <c r="S31" s="5"/>
      <c r="T31" s="5"/>
      <c r="U31" s="5"/>
      <c r="V31" s="5"/>
      <c r="W31" s="5"/>
    </row>
    <row r="32" spans="1:23" x14ac:dyDescent="0.15">
      <c r="A32" s="5"/>
      <c r="B32" s="5"/>
      <c r="C32" s="5"/>
      <c r="D32" s="5"/>
      <c r="E32" s="5"/>
      <c r="F32" s="5"/>
      <c r="G32" s="5"/>
      <c r="H32" s="5"/>
      <c r="I32" s="5"/>
      <c r="J32" s="5"/>
      <c r="K32" s="5"/>
      <c r="L32" s="5"/>
      <c r="M32" s="5"/>
      <c r="N32" s="5"/>
      <c r="O32" s="5"/>
      <c r="P32" s="5"/>
      <c r="Q32" s="5"/>
      <c r="R32" s="5"/>
      <c r="S32" s="5"/>
      <c r="T32" s="5"/>
      <c r="U32" s="5"/>
      <c r="V32" s="5"/>
      <c r="W32" s="5"/>
    </row>
    <row r="33" spans="1:23" x14ac:dyDescent="0.15">
      <c r="A33" s="5"/>
      <c r="B33" s="5"/>
      <c r="C33" s="5"/>
      <c r="D33" s="5"/>
      <c r="E33" s="5"/>
      <c r="F33" s="5"/>
      <c r="G33" s="5"/>
      <c r="H33" s="5"/>
      <c r="I33" s="5"/>
      <c r="J33" s="5"/>
      <c r="K33" s="5"/>
      <c r="L33" s="5"/>
      <c r="M33" s="5"/>
      <c r="N33" s="5"/>
      <c r="O33" s="5"/>
      <c r="P33" s="5"/>
      <c r="Q33" s="5"/>
      <c r="R33" s="5"/>
      <c r="S33" s="5"/>
      <c r="T33" s="5"/>
      <c r="U33" s="5"/>
      <c r="V33" s="5"/>
      <c r="W33" s="5"/>
    </row>
    <row r="34" spans="1:23" x14ac:dyDescent="0.15">
      <c r="A34" s="5"/>
      <c r="B34" s="5"/>
      <c r="C34" s="5"/>
      <c r="D34" s="5"/>
      <c r="E34" s="5"/>
      <c r="F34" s="5"/>
      <c r="G34" s="5"/>
      <c r="H34" s="5"/>
      <c r="I34" s="5"/>
      <c r="J34" s="5"/>
      <c r="K34" s="5"/>
      <c r="L34" s="5"/>
      <c r="M34" s="5"/>
      <c r="N34" s="5"/>
      <c r="O34" s="5"/>
      <c r="P34" s="5"/>
      <c r="Q34" s="5"/>
      <c r="R34" s="5"/>
      <c r="S34" s="5"/>
      <c r="T34" s="5"/>
      <c r="U34" s="5"/>
      <c r="V34" s="5"/>
      <c r="W34" s="5"/>
    </row>
    <row r="35" spans="1:23" x14ac:dyDescent="0.15">
      <c r="A35" s="5"/>
      <c r="B35" s="5"/>
      <c r="C35" s="5"/>
      <c r="D35" s="5"/>
      <c r="E35" s="5"/>
      <c r="F35" s="5"/>
      <c r="G35" s="5"/>
      <c r="H35" s="5"/>
      <c r="I35" s="5"/>
      <c r="J35" s="5"/>
      <c r="K35" s="5"/>
      <c r="L35" s="5"/>
      <c r="M35" s="5"/>
      <c r="N35" s="5"/>
      <c r="O35" s="5"/>
      <c r="P35" s="5"/>
      <c r="Q35" s="5"/>
      <c r="R35" s="5"/>
      <c r="S35" s="5"/>
      <c r="T35" s="5"/>
      <c r="U35" s="5"/>
      <c r="V35" s="5"/>
      <c r="W35" s="5"/>
    </row>
    <row r="36" spans="1:23" x14ac:dyDescent="0.15">
      <c r="A36" s="5"/>
      <c r="B36" s="5"/>
      <c r="C36" s="5"/>
      <c r="D36" s="5"/>
      <c r="E36" s="5"/>
      <c r="F36" s="5"/>
      <c r="G36" s="5"/>
      <c r="H36" s="5"/>
      <c r="I36" s="5"/>
      <c r="J36" s="5"/>
      <c r="K36" s="5"/>
      <c r="L36" s="5"/>
      <c r="M36" s="5"/>
      <c r="N36" s="5"/>
      <c r="O36" s="5"/>
      <c r="P36" s="5"/>
      <c r="Q36" s="5"/>
      <c r="R36" s="5"/>
      <c r="S36" s="5"/>
      <c r="T36" s="5"/>
      <c r="U36" s="5"/>
      <c r="V36" s="5"/>
      <c r="W36" s="5"/>
    </row>
    <row r="37" spans="1:23" x14ac:dyDescent="0.15">
      <c r="A37" s="5"/>
      <c r="B37" s="5"/>
      <c r="C37" s="5"/>
      <c r="D37" s="5"/>
      <c r="E37" s="5"/>
      <c r="F37" s="5"/>
      <c r="G37" s="5"/>
      <c r="H37" s="5"/>
      <c r="I37" s="5"/>
      <c r="J37" s="5"/>
      <c r="K37" s="5"/>
      <c r="L37" s="5"/>
      <c r="M37" s="5"/>
      <c r="N37" s="5"/>
      <c r="O37" s="5"/>
      <c r="P37" s="5"/>
      <c r="Q37" s="5"/>
      <c r="R37" s="5"/>
      <c r="S37" s="5"/>
      <c r="T37" s="5"/>
      <c r="U37" s="5"/>
      <c r="V37" s="5"/>
      <c r="W37" s="5"/>
    </row>
    <row r="38" spans="1:23" x14ac:dyDescent="0.15">
      <c r="A38" s="5"/>
      <c r="B38" s="5"/>
      <c r="C38" s="5"/>
      <c r="D38" s="5"/>
      <c r="E38" s="5"/>
      <c r="F38" s="5"/>
      <c r="G38" s="5"/>
      <c r="H38" s="5"/>
      <c r="I38" s="5"/>
      <c r="J38" s="5"/>
      <c r="K38" s="5"/>
      <c r="L38" s="5"/>
      <c r="M38" s="5"/>
      <c r="N38" s="5"/>
      <c r="O38" s="5"/>
      <c r="P38" s="5"/>
      <c r="Q38" s="5"/>
      <c r="R38" s="5"/>
      <c r="S38" s="5"/>
      <c r="T38" s="5"/>
      <c r="U38" s="5"/>
      <c r="V38" s="5"/>
      <c r="W38" s="5"/>
    </row>
    <row r="39" spans="1:23" x14ac:dyDescent="0.15">
      <c r="A39" s="5"/>
      <c r="B39" s="5"/>
      <c r="C39" s="5"/>
      <c r="D39" s="5"/>
      <c r="E39" s="5"/>
      <c r="F39" s="5"/>
      <c r="G39" s="5"/>
      <c r="H39" s="5"/>
      <c r="I39" s="5"/>
      <c r="J39" s="5"/>
      <c r="K39" s="5"/>
      <c r="L39" s="5"/>
      <c r="M39" s="5"/>
      <c r="N39" s="5"/>
      <c r="O39" s="5"/>
      <c r="P39" s="5"/>
      <c r="Q39" s="5"/>
      <c r="R39" s="5"/>
      <c r="S39" s="5"/>
      <c r="T39" s="5"/>
      <c r="U39" s="5"/>
      <c r="V39" s="5"/>
      <c r="W39" s="5"/>
    </row>
    <row r="40" spans="1:23" x14ac:dyDescent="0.15">
      <c r="A40" s="5"/>
      <c r="B40" s="5"/>
      <c r="C40" s="5"/>
      <c r="D40" s="5"/>
      <c r="E40" s="5"/>
      <c r="F40" s="5"/>
      <c r="G40" s="5"/>
      <c r="H40" s="5"/>
      <c r="I40" s="5"/>
      <c r="J40" s="5"/>
      <c r="K40" s="5"/>
      <c r="L40" s="5"/>
      <c r="M40" s="5"/>
      <c r="N40" s="5"/>
      <c r="O40" s="5"/>
      <c r="P40" s="5"/>
      <c r="Q40" s="5"/>
      <c r="R40" s="5"/>
      <c r="S40" s="5"/>
      <c r="T40" s="5"/>
      <c r="U40" s="5"/>
      <c r="V40" s="5"/>
      <c r="W40" s="5"/>
    </row>
    <row r="41" spans="1:23" x14ac:dyDescent="0.15">
      <c r="A41" s="5"/>
      <c r="B41" s="5"/>
      <c r="C41" s="5"/>
      <c r="D41" s="5"/>
      <c r="E41" s="5"/>
      <c r="F41" s="5"/>
      <c r="G41" s="5"/>
      <c r="H41" s="5"/>
      <c r="I41" s="5"/>
      <c r="J41" s="5"/>
      <c r="K41" s="5"/>
      <c r="L41" s="5"/>
      <c r="M41" s="5"/>
      <c r="N41" s="5"/>
      <c r="O41" s="5"/>
      <c r="P41" s="5"/>
      <c r="Q41" s="5"/>
      <c r="R41" s="5"/>
      <c r="S41" s="5"/>
      <c r="T41" s="5"/>
      <c r="U41" s="5"/>
      <c r="V41" s="5"/>
      <c r="W41" s="5"/>
    </row>
    <row r="42" spans="1:23" x14ac:dyDescent="0.15">
      <c r="A42" s="5"/>
      <c r="B42" s="5"/>
      <c r="C42" s="5"/>
      <c r="D42" s="5"/>
      <c r="E42" s="5"/>
      <c r="F42" s="5"/>
      <c r="G42" s="5"/>
      <c r="H42" s="5"/>
      <c r="I42" s="5"/>
      <c r="J42" s="5"/>
      <c r="K42" s="5"/>
      <c r="L42" s="5"/>
      <c r="M42" s="5"/>
      <c r="N42" s="5"/>
      <c r="O42" s="5"/>
      <c r="P42" s="5"/>
      <c r="Q42" s="5"/>
      <c r="R42" s="5"/>
      <c r="S42" s="5"/>
      <c r="T42" s="5"/>
      <c r="U42" s="5"/>
      <c r="V42" s="5"/>
      <c r="W42" s="5"/>
    </row>
    <row r="43" spans="1:23" x14ac:dyDescent="0.15">
      <c r="A43" s="5"/>
      <c r="B43" s="5"/>
      <c r="C43" s="5"/>
      <c r="D43" s="5"/>
      <c r="E43" s="5"/>
      <c r="F43" s="5"/>
      <c r="G43" s="5"/>
      <c r="H43" s="5"/>
      <c r="I43" s="5"/>
      <c r="J43" s="5"/>
      <c r="K43" s="5"/>
      <c r="L43" s="5"/>
      <c r="M43" s="5"/>
      <c r="N43" s="5"/>
      <c r="O43" s="5"/>
      <c r="P43" s="5"/>
      <c r="Q43" s="5"/>
      <c r="R43" s="5"/>
      <c r="S43" s="5"/>
      <c r="T43" s="5"/>
      <c r="U43" s="5"/>
      <c r="V43" s="5"/>
      <c r="W43" s="5"/>
    </row>
    <row r="44" spans="1:23" x14ac:dyDescent="0.15">
      <c r="A44" s="5"/>
      <c r="B44" s="5"/>
      <c r="C44" s="5"/>
      <c r="D44" s="5"/>
      <c r="E44" s="5"/>
      <c r="F44" s="5"/>
      <c r="G44" s="5"/>
      <c r="H44" s="5"/>
      <c r="I44" s="5"/>
      <c r="J44" s="5"/>
      <c r="K44" s="5"/>
      <c r="L44" s="5"/>
      <c r="M44" s="5"/>
      <c r="N44" s="5"/>
      <c r="O44" s="5"/>
      <c r="P44" s="5"/>
      <c r="Q44" s="5"/>
      <c r="R44" s="5"/>
      <c r="S44" s="5"/>
      <c r="T44" s="5"/>
      <c r="U44" s="5"/>
      <c r="V44" s="5"/>
      <c r="W44" s="5"/>
    </row>
    <row r="45" spans="1:23" x14ac:dyDescent="0.15">
      <c r="A45" s="5"/>
      <c r="B45" s="5"/>
      <c r="C45" s="5"/>
      <c r="D45" s="5"/>
      <c r="E45" s="5"/>
      <c r="F45" s="5"/>
      <c r="G45" s="5"/>
      <c r="H45" s="5"/>
      <c r="I45" s="5"/>
      <c r="J45" s="5"/>
      <c r="K45" s="5"/>
      <c r="L45" s="5"/>
      <c r="M45" s="5"/>
      <c r="N45" s="5"/>
      <c r="O45" s="5"/>
      <c r="P45" s="5"/>
      <c r="Q45" s="5"/>
      <c r="R45" s="5"/>
      <c r="S45" s="5"/>
      <c r="T45" s="5"/>
      <c r="U45" s="5"/>
      <c r="V45" s="5"/>
      <c r="W45" s="5"/>
    </row>
    <row r="46" spans="1:23" x14ac:dyDescent="0.15">
      <c r="A46" s="5"/>
      <c r="B46" s="5"/>
      <c r="C46" s="5"/>
      <c r="D46" s="5"/>
      <c r="E46" s="5"/>
      <c r="F46" s="5"/>
      <c r="G46" s="5"/>
      <c r="H46" s="5"/>
      <c r="I46" s="5"/>
      <c r="J46" s="5"/>
      <c r="K46" s="5"/>
      <c r="L46" s="5"/>
      <c r="M46" s="5"/>
      <c r="N46" s="5"/>
      <c r="O46" s="5"/>
      <c r="P46" s="5"/>
      <c r="Q46" s="5"/>
      <c r="R46" s="5"/>
      <c r="S46" s="5"/>
      <c r="T46" s="5"/>
      <c r="U46" s="5"/>
      <c r="V46" s="5"/>
      <c r="W46" s="5"/>
    </row>
    <row r="47" spans="1:23" x14ac:dyDescent="0.15">
      <c r="A47" s="5"/>
      <c r="B47" s="5"/>
      <c r="C47" s="5"/>
      <c r="D47" s="5"/>
      <c r="E47" s="5"/>
      <c r="F47" s="5"/>
      <c r="G47" s="5"/>
      <c r="H47" s="5"/>
      <c r="I47" s="5"/>
      <c r="J47" s="5"/>
      <c r="K47" s="5"/>
      <c r="L47" s="5"/>
      <c r="M47" s="5"/>
      <c r="N47" s="5"/>
      <c r="O47" s="5"/>
      <c r="P47" s="5"/>
      <c r="Q47" s="5"/>
      <c r="R47" s="5"/>
      <c r="S47" s="5"/>
      <c r="T47" s="5"/>
      <c r="U47" s="5"/>
      <c r="V47" s="5"/>
      <c r="W47" s="5"/>
    </row>
    <row r="48" spans="1:23" x14ac:dyDescent="0.15">
      <c r="A48" s="5"/>
      <c r="B48" s="5"/>
      <c r="C48" s="5"/>
      <c r="D48" s="5"/>
      <c r="E48" s="5"/>
      <c r="F48" s="5"/>
      <c r="G48" s="5"/>
      <c r="H48" s="5"/>
      <c r="I48" s="5"/>
      <c r="J48" s="5"/>
      <c r="K48" s="5"/>
      <c r="L48" s="5"/>
      <c r="M48" s="5"/>
      <c r="N48" s="5"/>
      <c r="O48" s="5"/>
      <c r="P48" s="5"/>
      <c r="Q48" s="5"/>
      <c r="R48" s="5"/>
      <c r="S48" s="5"/>
      <c r="T48" s="5"/>
      <c r="U48" s="5"/>
      <c r="V48" s="5"/>
      <c r="W48" s="5"/>
    </row>
    <row r="49" spans="1:23" x14ac:dyDescent="0.15">
      <c r="A49" s="5"/>
      <c r="B49" s="5"/>
      <c r="C49" s="5"/>
      <c r="D49" s="5"/>
      <c r="E49" s="5"/>
      <c r="F49" s="5"/>
      <c r="G49" s="5"/>
      <c r="H49" s="5"/>
      <c r="I49" s="5"/>
      <c r="J49" s="5"/>
      <c r="K49" s="5"/>
      <c r="L49" s="5"/>
      <c r="M49" s="5"/>
      <c r="N49" s="5"/>
      <c r="O49" s="5"/>
      <c r="P49" s="5"/>
      <c r="Q49" s="5"/>
      <c r="R49" s="5"/>
      <c r="S49" s="5"/>
      <c r="T49" s="5"/>
      <c r="U49" s="5"/>
      <c r="V49" s="5"/>
      <c r="W49" s="5"/>
    </row>
    <row r="50" spans="1:23" x14ac:dyDescent="0.15">
      <c r="A50" s="5"/>
      <c r="B50" s="5"/>
      <c r="C50" s="5"/>
      <c r="D50" s="5"/>
      <c r="E50" s="5"/>
      <c r="F50" s="5"/>
      <c r="G50" s="5"/>
      <c r="H50" s="5"/>
      <c r="I50" s="5"/>
      <c r="J50" s="5"/>
      <c r="K50" s="5"/>
      <c r="L50" s="5"/>
      <c r="M50" s="5"/>
      <c r="N50" s="5"/>
      <c r="O50" s="5"/>
      <c r="P50" s="5"/>
      <c r="Q50" s="5"/>
      <c r="R50" s="5"/>
      <c r="S50" s="5"/>
      <c r="T50" s="5"/>
      <c r="U50" s="5"/>
      <c r="V50" s="5"/>
      <c r="W50" s="5"/>
    </row>
    <row r="51" spans="1:23" x14ac:dyDescent="0.15">
      <c r="A51" s="5"/>
      <c r="B51" s="5"/>
      <c r="C51" s="5"/>
      <c r="D51" s="5"/>
      <c r="E51" s="5"/>
      <c r="F51" s="5"/>
      <c r="G51" s="5"/>
      <c r="H51" s="5"/>
      <c r="I51" s="5"/>
      <c r="J51" s="5"/>
      <c r="K51" s="5"/>
      <c r="L51" s="5"/>
      <c r="M51" s="5"/>
      <c r="N51" s="5"/>
      <c r="O51" s="5"/>
      <c r="P51" s="5"/>
      <c r="Q51" s="5"/>
      <c r="R51" s="5"/>
      <c r="S51" s="5"/>
      <c r="T51" s="5"/>
      <c r="U51" s="5"/>
      <c r="V51" s="5"/>
      <c r="W51" s="5"/>
    </row>
    <row r="52" spans="1:23" x14ac:dyDescent="0.15">
      <c r="A52" s="5"/>
      <c r="B52" s="5"/>
      <c r="C52" s="5"/>
      <c r="D52" s="5"/>
      <c r="E52" s="5"/>
      <c r="F52" s="5"/>
      <c r="G52" s="5"/>
      <c r="H52" s="5"/>
      <c r="I52" s="5"/>
      <c r="J52" s="5"/>
      <c r="K52" s="5"/>
      <c r="L52" s="5"/>
      <c r="M52" s="5"/>
      <c r="N52" s="5"/>
      <c r="O52" s="5"/>
      <c r="P52" s="5"/>
      <c r="Q52" s="5"/>
      <c r="R52" s="5"/>
      <c r="S52" s="5"/>
      <c r="T52" s="5"/>
      <c r="U52" s="5"/>
      <c r="V52" s="5"/>
      <c r="W52" s="5"/>
    </row>
    <row r="53" spans="1:23" x14ac:dyDescent="0.15">
      <c r="A53" s="5"/>
      <c r="B53" s="5"/>
      <c r="C53" s="5"/>
      <c r="D53" s="5"/>
      <c r="E53" s="5"/>
      <c r="F53" s="5"/>
      <c r="G53" s="5"/>
      <c r="H53" s="5"/>
      <c r="I53" s="5"/>
      <c r="J53" s="5"/>
      <c r="K53" s="5"/>
      <c r="L53" s="5"/>
      <c r="M53" s="5"/>
      <c r="N53" s="5"/>
      <c r="O53" s="5"/>
      <c r="P53" s="5"/>
      <c r="Q53" s="5"/>
      <c r="R53" s="5"/>
      <c r="S53" s="5"/>
      <c r="T53" s="5"/>
      <c r="U53" s="5"/>
      <c r="V53" s="5"/>
      <c r="W53" s="5"/>
    </row>
    <row r="54" spans="1:23" x14ac:dyDescent="0.15">
      <c r="A54" s="5"/>
      <c r="B54" s="5"/>
      <c r="C54" s="5"/>
      <c r="D54" s="5"/>
      <c r="E54" s="5"/>
      <c r="F54" s="5"/>
      <c r="G54" s="5"/>
      <c r="H54" s="5"/>
      <c r="I54" s="5"/>
      <c r="J54" s="5"/>
      <c r="K54" s="5"/>
      <c r="L54" s="5"/>
      <c r="M54" s="5"/>
      <c r="N54" s="5"/>
      <c r="O54" s="5"/>
      <c r="P54" s="5"/>
      <c r="Q54" s="5"/>
      <c r="R54" s="5"/>
      <c r="S54" s="5"/>
      <c r="T54" s="5"/>
      <c r="U54" s="5"/>
      <c r="V54" s="5"/>
      <c r="W54" s="5"/>
    </row>
    <row r="55" spans="1:23" x14ac:dyDescent="0.15">
      <c r="A55" s="5"/>
      <c r="B55" s="5"/>
      <c r="C55" s="5"/>
      <c r="D55" s="5"/>
      <c r="E55" s="5"/>
      <c r="F55" s="5"/>
      <c r="G55" s="5"/>
      <c r="H55" s="5"/>
      <c r="I55" s="5"/>
      <c r="J55" s="5"/>
      <c r="K55" s="5"/>
      <c r="L55" s="5"/>
      <c r="M55" s="5"/>
      <c r="N55" s="5"/>
      <c r="O55" s="5"/>
      <c r="P55" s="5"/>
      <c r="Q55" s="5"/>
      <c r="R55" s="5"/>
      <c r="S55" s="5"/>
      <c r="T55" s="5"/>
      <c r="U55" s="5"/>
      <c r="V55" s="5"/>
      <c r="W55" s="5"/>
    </row>
    <row r="56" spans="1:23" x14ac:dyDescent="0.15">
      <c r="A56" s="5"/>
      <c r="B56" s="5"/>
      <c r="C56" s="5"/>
      <c r="D56" s="5"/>
      <c r="E56" s="5"/>
      <c r="F56" s="5"/>
      <c r="G56" s="5"/>
      <c r="H56" s="5"/>
      <c r="I56" s="5"/>
      <c r="J56" s="5"/>
      <c r="K56" s="5"/>
      <c r="L56" s="5"/>
      <c r="M56" s="5"/>
      <c r="N56" s="5"/>
      <c r="O56" s="5"/>
      <c r="P56" s="5"/>
      <c r="Q56" s="5"/>
      <c r="R56" s="5"/>
      <c r="S56" s="5"/>
      <c r="T56" s="5"/>
      <c r="U56" s="5"/>
      <c r="V56" s="5"/>
      <c r="W56" s="5"/>
    </row>
    <row r="57" spans="1:23" x14ac:dyDescent="0.15">
      <c r="A57" s="5"/>
      <c r="B57" s="5"/>
      <c r="C57" s="5"/>
      <c r="D57" s="5"/>
      <c r="E57" s="5"/>
      <c r="F57" s="5"/>
      <c r="G57" s="5"/>
      <c r="H57" s="5"/>
      <c r="I57" s="5"/>
      <c r="J57" s="5"/>
      <c r="K57" s="5"/>
      <c r="L57" s="5"/>
      <c r="M57" s="5"/>
      <c r="N57" s="5"/>
      <c r="O57" s="5"/>
      <c r="P57" s="5"/>
      <c r="Q57" s="5"/>
      <c r="R57" s="5"/>
      <c r="S57" s="5"/>
      <c r="T57" s="5"/>
      <c r="U57" s="5"/>
      <c r="V57" s="5"/>
      <c r="W57" s="5"/>
    </row>
    <row r="58" spans="1:23" x14ac:dyDescent="0.15">
      <c r="A58" s="5"/>
      <c r="B58" s="5"/>
      <c r="C58" s="5"/>
      <c r="D58" s="5"/>
      <c r="E58" s="5"/>
      <c r="F58" s="5"/>
      <c r="G58" s="5"/>
      <c r="H58" s="5"/>
      <c r="I58" s="5"/>
      <c r="J58" s="5"/>
      <c r="K58" s="5"/>
      <c r="L58" s="5"/>
      <c r="M58" s="5"/>
      <c r="N58" s="5"/>
      <c r="O58" s="5"/>
      <c r="P58" s="5"/>
      <c r="Q58" s="5"/>
      <c r="R58" s="5"/>
      <c r="S58" s="5"/>
      <c r="T58" s="5"/>
      <c r="U58" s="5"/>
      <c r="V58" s="5"/>
      <c r="W58" s="5"/>
    </row>
    <row r="59" spans="1:23" x14ac:dyDescent="0.15">
      <c r="A59" s="5"/>
      <c r="B59" s="5"/>
      <c r="C59" s="5"/>
      <c r="D59" s="5"/>
      <c r="E59" s="5"/>
      <c r="F59" s="5"/>
      <c r="G59" s="5"/>
      <c r="H59" s="5"/>
      <c r="I59" s="5"/>
      <c r="J59" s="5"/>
      <c r="K59" s="5"/>
      <c r="L59" s="5"/>
      <c r="M59" s="5"/>
      <c r="N59" s="5"/>
      <c r="O59" s="5"/>
      <c r="P59" s="5"/>
      <c r="Q59" s="5"/>
      <c r="R59" s="5"/>
      <c r="S59" s="5"/>
      <c r="T59" s="5"/>
      <c r="U59" s="5"/>
      <c r="V59" s="5"/>
      <c r="W59" s="5"/>
    </row>
    <row r="60" spans="1:23" x14ac:dyDescent="0.15">
      <c r="A60" s="5"/>
      <c r="B60" s="5"/>
      <c r="C60" s="5"/>
      <c r="D60" s="5"/>
      <c r="E60" s="5"/>
      <c r="F60" s="5"/>
      <c r="G60" s="5"/>
      <c r="H60" s="5"/>
      <c r="I60" s="5"/>
      <c r="J60" s="5"/>
      <c r="K60" s="5"/>
      <c r="L60" s="5"/>
      <c r="M60" s="5"/>
      <c r="N60" s="5"/>
      <c r="O60" s="5"/>
      <c r="P60" s="5"/>
      <c r="Q60" s="5"/>
      <c r="R60" s="5"/>
      <c r="S60" s="5"/>
      <c r="T60" s="5"/>
      <c r="U60" s="5"/>
      <c r="V60" s="5"/>
      <c r="W60" s="5"/>
    </row>
    <row r="61" spans="1:23" x14ac:dyDescent="0.15">
      <c r="A61" s="5"/>
      <c r="B61" s="5"/>
      <c r="C61" s="5"/>
      <c r="D61" s="5"/>
      <c r="E61" s="5"/>
      <c r="F61" s="5"/>
      <c r="G61" s="5"/>
      <c r="H61" s="5"/>
      <c r="I61" s="5"/>
      <c r="J61" s="5"/>
      <c r="K61" s="5"/>
      <c r="L61" s="5"/>
      <c r="M61" s="5"/>
      <c r="N61" s="5"/>
      <c r="O61" s="5"/>
      <c r="P61" s="5"/>
      <c r="Q61" s="5"/>
      <c r="R61" s="5"/>
      <c r="S61" s="5"/>
      <c r="T61" s="5"/>
      <c r="U61" s="5"/>
      <c r="V61" s="5"/>
      <c r="W61" s="5"/>
    </row>
    <row r="62" spans="1:23" x14ac:dyDescent="0.15">
      <c r="A62" s="5"/>
      <c r="B62" s="5"/>
      <c r="C62" s="5"/>
      <c r="D62" s="5"/>
      <c r="E62" s="5"/>
      <c r="F62" s="5"/>
      <c r="G62" s="5"/>
      <c r="H62" s="5"/>
      <c r="I62" s="5"/>
      <c r="J62" s="5"/>
      <c r="K62" s="5"/>
      <c r="L62" s="5"/>
      <c r="M62" s="5"/>
      <c r="N62" s="5"/>
      <c r="O62" s="5"/>
      <c r="P62" s="5"/>
      <c r="Q62" s="5"/>
      <c r="R62" s="5"/>
      <c r="S62" s="5"/>
      <c r="T62" s="5"/>
      <c r="U62" s="5"/>
      <c r="V62" s="5"/>
      <c r="W62" s="5"/>
    </row>
    <row r="63" spans="1:23" x14ac:dyDescent="0.15">
      <c r="A63" s="5"/>
      <c r="B63" s="5"/>
      <c r="C63" s="5"/>
      <c r="D63" s="5"/>
      <c r="E63" s="5"/>
      <c r="F63" s="5"/>
      <c r="G63" s="5"/>
      <c r="H63" s="5"/>
      <c r="I63" s="5"/>
      <c r="J63" s="5"/>
      <c r="K63" s="5"/>
      <c r="L63" s="5"/>
      <c r="M63" s="5"/>
      <c r="N63" s="5"/>
      <c r="O63" s="5"/>
      <c r="P63" s="5"/>
      <c r="Q63" s="5"/>
      <c r="R63" s="5"/>
      <c r="S63" s="5"/>
      <c r="T63" s="5"/>
      <c r="U63" s="5"/>
      <c r="V63" s="5"/>
      <c r="W63" s="5"/>
    </row>
    <row r="64" spans="1:23" x14ac:dyDescent="0.15">
      <c r="A64" s="5"/>
      <c r="B64" s="5"/>
      <c r="C64" s="5"/>
      <c r="D64" s="5"/>
      <c r="E64" s="5"/>
      <c r="F64" s="5"/>
      <c r="G64" s="5"/>
      <c r="H64" s="5"/>
      <c r="I64" s="5"/>
      <c r="J64" s="5"/>
      <c r="K64" s="5"/>
      <c r="L64" s="5"/>
      <c r="M64" s="5"/>
      <c r="N64" s="5"/>
      <c r="O64" s="5"/>
      <c r="P64" s="5"/>
      <c r="Q64" s="5"/>
      <c r="R64" s="5"/>
      <c r="S64" s="5"/>
      <c r="T64" s="5"/>
      <c r="U64" s="5"/>
      <c r="V64" s="5"/>
      <c r="W64" s="5"/>
    </row>
    <row r="65" spans="1:23" x14ac:dyDescent="0.15">
      <c r="A65" s="5"/>
      <c r="B65" s="5"/>
      <c r="C65" s="5"/>
      <c r="D65" s="5"/>
      <c r="E65" s="5"/>
      <c r="F65" s="5"/>
      <c r="G65" s="5"/>
      <c r="H65" s="5"/>
      <c r="I65" s="5"/>
      <c r="J65" s="5"/>
      <c r="K65" s="5"/>
      <c r="L65" s="5"/>
      <c r="M65" s="5"/>
      <c r="N65" s="5"/>
      <c r="O65" s="5"/>
      <c r="P65" s="5"/>
      <c r="Q65" s="5"/>
      <c r="R65" s="5"/>
      <c r="S65" s="5"/>
      <c r="T65" s="5"/>
      <c r="U65" s="5"/>
      <c r="V65" s="5"/>
      <c r="W65" s="5"/>
    </row>
    <row r="66" spans="1:23" x14ac:dyDescent="0.15">
      <c r="A66" s="5"/>
      <c r="B66" s="5"/>
      <c r="C66" s="5"/>
      <c r="D66" s="5"/>
      <c r="E66" s="5"/>
      <c r="F66" s="5"/>
      <c r="G66" s="5"/>
      <c r="H66" s="5"/>
      <c r="I66" s="5"/>
      <c r="J66" s="5"/>
      <c r="K66" s="5"/>
      <c r="L66" s="5"/>
      <c r="M66" s="5"/>
      <c r="N66" s="5"/>
      <c r="O66" s="5"/>
      <c r="P66" s="5"/>
      <c r="Q66" s="5"/>
      <c r="R66" s="5"/>
      <c r="S66" s="5"/>
      <c r="T66" s="5"/>
      <c r="U66" s="5"/>
      <c r="V66" s="5"/>
      <c r="W66" s="5"/>
    </row>
    <row r="67" spans="1:23" x14ac:dyDescent="0.15">
      <c r="A67" s="5"/>
      <c r="B67" s="5"/>
      <c r="C67" s="5"/>
      <c r="D67" s="5"/>
      <c r="E67" s="5"/>
      <c r="F67" s="5"/>
      <c r="G67" s="5"/>
      <c r="H67" s="5"/>
      <c r="I67" s="5"/>
      <c r="J67" s="5"/>
      <c r="K67" s="5"/>
      <c r="L67" s="5"/>
      <c r="M67" s="5"/>
      <c r="N67" s="5"/>
      <c r="O67" s="5"/>
      <c r="P67" s="5"/>
      <c r="Q67" s="5"/>
      <c r="R67" s="5"/>
      <c r="S67" s="5"/>
      <c r="T67" s="5"/>
      <c r="U67" s="5"/>
      <c r="V67" s="5"/>
      <c r="W67" s="5"/>
    </row>
    <row r="68" spans="1:23" x14ac:dyDescent="0.15">
      <c r="A68" s="5"/>
      <c r="B68" s="5"/>
      <c r="C68" s="5"/>
      <c r="D68" s="5"/>
      <c r="E68" s="5"/>
      <c r="F68" s="5"/>
      <c r="G68" s="5"/>
      <c r="H68" s="5"/>
      <c r="I68" s="5"/>
      <c r="J68" s="5"/>
      <c r="K68" s="5"/>
      <c r="L68" s="5"/>
      <c r="M68" s="5"/>
      <c r="N68" s="5"/>
      <c r="O68" s="5"/>
      <c r="P68" s="5"/>
      <c r="Q68" s="5"/>
      <c r="R68" s="5"/>
      <c r="S68" s="5"/>
      <c r="T68" s="5"/>
      <c r="U68" s="5"/>
      <c r="V68" s="5"/>
      <c r="W68" s="5"/>
    </row>
    <row r="69" spans="1:23" x14ac:dyDescent="0.15">
      <c r="A69" s="5"/>
      <c r="B69" s="5"/>
      <c r="C69" s="5"/>
      <c r="D69" s="5"/>
      <c r="E69" s="5"/>
      <c r="F69" s="5"/>
      <c r="G69" s="5"/>
      <c r="H69" s="5"/>
      <c r="I69" s="5"/>
      <c r="J69" s="5"/>
      <c r="K69" s="5"/>
      <c r="L69" s="5"/>
      <c r="M69" s="5"/>
      <c r="N69" s="5"/>
      <c r="O69" s="5"/>
      <c r="P69" s="5"/>
      <c r="Q69" s="5"/>
      <c r="R69" s="5"/>
      <c r="S69" s="5"/>
      <c r="T69" s="5"/>
      <c r="U69" s="5"/>
      <c r="V69" s="5"/>
      <c r="W69" s="5"/>
    </row>
    <row r="70" spans="1:23" x14ac:dyDescent="0.15">
      <c r="A70" s="5"/>
      <c r="B70" s="5"/>
      <c r="C70" s="5"/>
      <c r="D70" s="5"/>
      <c r="E70" s="5"/>
      <c r="F70" s="5"/>
      <c r="G70" s="5"/>
      <c r="H70" s="5"/>
      <c r="I70" s="5"/>
      <c r="J70" s="5"/>
      <c r="K70" s="5"/>
      <c r="L70" s="5"/>
      <c r="M70" s="5"/>
      <c r="N70" s="5"/>
      <c r="O70" s="5"/>
      <c r="P70" s="5"/>
      <c r="Q70" s="5"/>
      <c r="R70" s="5"/>
      <c r="S70" s="5"/>
      <c r="T70" s="5"/>
      <c r="U70" s="5"/>
      <c r="V70" s="5"/>
      <c r="W70" s="5"/>
    </row>
    <row r="71" spans="1:23" x14ac:dyDescent="0.15">
      <c r="A71" s="5"/>
      <c r="B71" s="5"/>
      <c r="C71" s="5"/>
      <c r="D71" s="5"/>
      <c r="E71" s="5"/>
      <c r="F71" s="5"/>
      <c r="G71" s="5"/>
      <c r="H71" s="5"/>
      <c r="I71" s="5"/>
      <c r="J71" s="5"/>
      <c r="K71" s="5"/>
      <c r="L71" s="5"/>
      <c r="M71" s="5"/>
      <c r="N71" s="5"/>
      <c r="O71" s="5"/>
      <c r="P71" s="5"/>
      <c r="Q71" s="5"/>
      <c r="R71" s="5"/>
      <c r="S71" s="5"/>
      <c r="T71" s="5"/>
      <c r="U71" s="5"/>
      <c r="V71" s="5"/>
      <c r="W71" s="5"/>
    </row>
    <row r="72" spans="1:23" x14ac:dyDescent="0.15">
      <c r="A72" s="5"/>
      <c r="B72" s="5"/>
      <c r="C72" s="5"/>
      <c r="D72" s="5"/>
      <c r="E72" s="5"/>
      <c r="F72" s="5"/>
      <c r="G72" s="5"/>
      <c r="H72" s="5"/>
      <c r="I72" s="5"/>
      <c r="J72" s="5"/>
      <c r="K72" s="5"/>
      <c r="L72" s="5"/>
      <c r="M72" s="5"/>
      <c r="N72" s="5"/>
      <c r="O72" s="5"/>
      <c r="P72" s="5"/>
      <c r="Q72" s="5"/>
      <c r="R72" s="5"/>
      <c r="S72" s="5"/>
      <c r="T72" s="5"/>
      <c r="U72" s="5"/>
      <c r="V72" s="5"/>
      <c r="W72" s="5"/>
    </row>
    <row r="73" spans="1:23" x14ac:dyDescent="0.15">
      <c r="A73" s="5"/>
      <c r="B73" s="5"/>
      <c r="C73" s="5"/>
      <c r="D73" s="5"/>
      <c r="E73" s="5"/>
      <c r="F73" s="5"/>
      <c r="G73" s="5"/>
      <c r="H73" s="5"/>
      <c r="I73" s="5"/>
      <c r="J73" s="5"/>
      <c r="K73" s="5"/>
      <c r="L73" s="5"/>
      <c r="M73" s="5"/>
      <c r="N73" s="5"/>
      <c r="O73" s="5"/>
      <c r="P73" s="5"/>
      <c r="Q73" s="5"/>
      <c r="R73" s="5"/>
      <c r="S73" s="5"/>
      <c r="T73" s="5"/>
      <c r="U73" s="5"/>
      <c r="V73" s="5"/>
      <c r="W73" s="5"/>
    </row>
    <row r="74" spans="1:23" x14ac:dyDescent="0.15">
      <c r="A74" s="5"/>
      <c r="B74" s="5"/>
      <c r="C74" s="5"/>
      <c r="D74" s="5"/>
      <c r="E74" s="5"/>
      <c r="F74" s="5"/>
      <c r="G74" s="5"/>
      <c r="H74" s="5"/>
      <c r="I74" s="5"/>
      <c r="J74" s="5"/>
      <c r="K74" s="5"/>
      <c r="L74" s="5"/>
      <c r="M74" s="5"/>
      <c r="N74" s="5"/>
      <c r="O74" s="5"/>
      <c r="P74" s="5"/>
      <c r="Q74" s="5"/>
      <c r="R74" s="5"/>
      <c r="S74" s="5"/>
      <c r="T74" s="5"/>
      <c r="U74" s="5"/>
      <c r="V74" s="5"/>
      <c r="W74" s="5"/>
    </row>
    <row r="75" spans="1:23" x14ac:dyDescent="0.15">
      <c r="A75" s="5"/>
      <c r="B75" s="5"/>
      <c r="C75" s="5"/>
      <c r="D75" s="5"/>
      <c r="E75" s="5"/>
      <c r="F75" s="5"/>
      <c r="G75" s="5"/>
      <c r="H75" s="5"/>
      <c r="I75" s="5"/>
      <c r="J75" s="5"/>
      <c r="K75" s="5"/>
      <c r="L75" s="5"/>
      <c r="M75" s="5"/>
      <c r="N75" s="5"/>
      <c r="O75" s="5"/>
      <c r="P75" s="5"/>
      <c r="Q75" s="5"/>
      <c r="R75" s="5"/>
      <c r="S75" s="5"/>
      <c r="T75" s="5"/>
      <c r="U75" s="5"/>
      <c r="V75" s="5"/>
      <c r="W75" s="5"/>
    </row>
    <row r="76" spans="1:23" x14ac:dyDescent="0.15">
      <c r="A76" s="5"/>
      <c r="B76" s="5"/>
      <c r="C76" s="5"/>
      <c r="D76" s="5"/>
      <c r="E76" s="5"/>
      <c r="F76" s="5"/>
      <c r="G76" s="5"/>
      <c r="H76" s="5"/>
      <c r="I76" s="5"/>
      <c r="J76" s="5"/>
      <c r="K76" s="5"/>
      <c r="L76" s="5"/>
      <c r="M76" s="5"/>
      <c r="N76" s="5"/>
      <c r="O76" s="5"/>
      <c r="P76" s="5"/>
      <c r="Q76" s="5"/>
      <c r="R76" s="5"/>
      <c r="S76" s="5"/>
      <c r="T76" s="5"/>
      <c r="U76" s="5"/>
      <c r="V76" s="5"/>
      <c r="W76" s="5"/>
    </row>
    <row r="77" spans="1:23" x14ac:dyDescent="0.15">
      <c r="A77" s="5"/>
      <c r="B77" s="5"/>
      <c r="C77" s="5"/>
      <c r="D77" s="5"/>
      <c r="E77" s="5"/>
      <c r="F77" s="5"/>
      <c r="G77" s="5"/>
      <c r="H77" s="5"/>
      <c r="I77" s="5"/>
      <c r="J77" s="5"/>
      <c r="K77" s="5"/>
      <c r="L77" s="5"/>
      <c r="M77" s="5"/>
      <c r="N77" s="5"/>
      <c r="O77" s="5"/>
      <c r="P77" s="5"/>
      <c r="Q77" s="5"/>
      <c r="R77" s="5"/>
      <c r="S77" s="5"/>
      <c r="T77" s="5"/>
      <c r="U77" s="5"/>
      <c r="V77" s="5"/>
      <c r="W77" s="5"/>
    </row>
    <row r="78" spans="1:23" x14ac:dyDescent="0.15">
      <c r="A78" s="5"/>
      <c r="B78" s="5"/>
      <c r="C78" s="5"/>
      <c r="D78" s="5"/>
      <c r="E78" s="5"/>
      <c r="F78" s="5"/>
      <c r="G78" s="5"/>
      <c r="H78" s="5"/>
      <c r="I78" s="5"/>
      <c r="J78" s="5"/>
      <c r="K78" s="5"/>
      <c r="L78" s="5"/>
      <c r="M78" s="5"/>
      <c r="N78" s="5"/>
      <c r="O78" s="5"/>
      <c r="P78" s="5"/>
      <c r="Q78" s="5"/>
      <c r="R78" s="5"/>
      <c r="S78" s="5"/>
      <c r="T78" s="5"/>
      <c r="U78" s="5"/>
      <c r="V78" s="5"/>
      <c r="W78" s="5"/>
    </row>
    <row r="79" spans="1:23" x14ac:dyDescent="0.15">
      <c r="A79" s="5"/>
      <c r="B79" s="5"/>
      <c r="C79" s="5"/>
      <c r="D79" s="5"/>
      <c r="E79" s="5"/>
      <c r="F79" s="5"/>
      <c r="G79" s="5"/>
      <c r="H79" s="5"/>
      <c r="I79" s="5"/>
      <c r="J79" s="5"/>
      <c r="K79" s="5"/>
      <c r="L79" s="5"/>
      <c r="M79" s="5"/>
      <c r="N79" s="5"/>
      <c r="O79" s="5"/>
      <c r="P79" s="5"/>
      <c r="Q79" s="5"/>
      <c r="R79" s="5"/>
      <c r="S79" s="5"/>
      <c r="T79" s="5"/>
      <c r="U79" s="5"/>
      <c r="V79" s="5"/>
      <c r="W79" s="5"/>
    </row>
    <row r="80" spans="1:23" x14ac:dyDescent="0.15">
      <c r="A80" s="5"/>
      <c r="B80" s="5"/>
      <c r="C80" s="5"/>
      <c r="D80" s="5"/>
      <c r="E80" s="5"/>
      <c r="F80" s="5"/>
      <c r="G80" s="5"/>
      <c r="H80" s="5"/>
      <c r="I80" s="5"/>
      <c r="J80" s="5"/>
      <c r="K80" s="5"/>
      <c r="L80" s="5"/>
      <c r="M80" s="5"/>
      <c r="N80" s="5"/>
      <c r="O80" s="5"/>
      <c r="P80" s="5"/>
      <c r="Q80" s="5"/>
      <c r="R80" s="5"/>
      <c r="S80" s="5"/>
      <c r="T80" s="5"/>
      <c r="U80" s="5"/>
      <c r="V80" s="5"/>
      <c r="W80" s="5"/>
    </row>
    <row r="81" spans="1:23" x14ac:dyDescent="0.15">
      <c r="A81" s="5"/>
      <c r="B81" s="5"/>
      <c r="C81" s="5"/>
      <c r="D81" s="5"/>
      <c r="E81" s="5"/>
      <c r="F81" s="5"/>
      <c r="G81" s="5"/>
      <c r="H81" s="5"/>
      <c r="I81" s="5"/>
      <c r="J81" s="5"/>
      <c r="K81" s="5"/>
      <c r="L81" s="5"/>
      <c r="M81" s="5"/>
      <c r="N81" s="5"/>
      <c r="O81" s="5"/>
      <c r="P81" s="5"/>
      <c r="Q81" s="5"/>
      <c r="R81" s="5"/>
      <c r="S81" s="5"/>
      <c r="T81" s="5"/>
      <c r="U81" s="5"/>
      <c r="V81" s="5"/>
      <c r="W81" s="5"/>
    </row>
    <row r="82" spans="1:23" x14ac:dyDescent="0.15">
      <c r="A82" s="5"/>
      <c r="B82" s="5"/>
      <c r="C82" s="5"/>
      <c r="D82" s="5"/>
      <c r="E82" s="5"/>
      <c r="F82" s="5"/>
      <c r="G82" s="5"/>
      <c r="H82" s="5"/>
      <c r="I82" s="5"/>
      <c r="J82" s="5"/>
      <c r="K82" s="5"/>
      <c r="L82" s="5"/>
      <c r="M82" s="5"/>
      <c r="N82" s="5"/>
      <c r="O82" s="5"/>
      <c r="P82" s="5"/>
      <c r="Q82" s="5"/>
      <c r="R82" s="5"/>
      <c r="S82" s="5"/>
      <c r="T82" s="5"/>
      <c r="U82" s="5"/>
      <c r="V82" s="5"/>
      <c r="W82" s="5"/>
    </row>
    <row r="83" spans="1:23" x14ac:dyDescent="0.15">
      <c r="A83" s="5"/>
      <c r="B83" s="5"/>
      <c r="C83" s="5"/>
      <c r="D83" s="5"/>
      <c r="E83" s="5"/>
      <c r="F83" s="5"/>
      <c r="G83" s="5"/>
      <c r="H83" s="5"/>
      <c r="I83" s="5"/>
      <c r="J83" s="5"/>
      <c r="K83" s="5"/>
      <c r="L83" s="5"/>
      <c r="M83" s="5"/>
      <c r="N83" s="5"/>
      <c r="O83" s="5"/>
      <c r="P83" s="5"/>
      <c r="Q83" s="5"/>
      <c r="R83" s="5"/>
      <c r="S83" s="5"/>
      <c r="T83" s="5"/>
      <c r="U83" s="5"/>
      <c r="V83" s="5"/>
      <c r="W83" s="5"/>
    </row>
    <row r="84" spans="1:23" x14ac:dyDescent="0.15">
      <c r="A84" s="5"/>
      <c r="B84" s="5"/>
      <c r="C84" s="5"/>
      <c r="D84" s="5"/>
      <c r="E84" s="5"/>
      <c r="F84" s="5"/>
      <c r="G84" s="5"/>
      <c r="H84" s="5"/>
      <c r="I84" s="5"/>
      <c r="J84" s="5"/>
      <c r="K84" s="5"/>
      <c r="L84" s="5"/>
      <c r="M84" s="5"/>
      <c r="N84" s="5"/>
      <c r="O84" s="5"/>
      <c r="P84" s="5"/>
      <c r="Q84" s="5"/>
      <c r="R84" s="5"/>
      <c r="S84" s="5"/>
      <c r="T84" s="5"/>
      <c r="U84" s="5"/>
      <c r="V84" s="5"/>
      <c r="W84" s="5"/>
    </row>
    <row r="85" spans="1:23" x14ac:dyDescent="0.15">
      <c r="A85" s="5"/>
      <c r="B85" s="5"/>
      <c r="C85" s="5"/>
      <c r="D85" s="5"/>
      <c r="E85" s="5"/>
      <c r="F85" s="5"/>
      <c r="G85" s="5"/>
      <c r="H85" s="5"/>
      <c r="I85" s="5"/>
      <c r="J85" s="5"/>
      <c r="K85" s="5"/>
      <c r="L85" s="5"/>
      <c r="M85" s="5"/>
      <c r="N85" s="5"/>
      <c r="O85" s="5"/>
      <c r="P85" s="5"/>
      <c r="Q85" s="5"/>
      <c r="R85" s="5"/>
      <c r="S85" s="5"/>
      <c r="T85" s="5"/>
      <c r="U85" s="5"/>
      <c r="V85" s="5"/>
      <c r="W85" s="5"/>
    </row>
    <row r="86" spans="1:23" x14ac:dyDescent="0.15">
      <c r="A86" s="5"/>
      <c r="B86" s="5"/>
      <c r="C86" s="5"/>
      <c r="D86" s="5"/>
      <c r="E86" s="5"/>
      <c r="F86" s="5"/>
      <c r="G86" s="5"/>
      <c r="H86" s="5"/>
      <c r="I86" s="5"/>
      <c r="J86" s="5"/>
      <c r="K86" s="5"/>
      <c r="L86" s="5"/>
      <c r="M86" s="5"/>
      <c r="N86" s="5"/>
      <c r="O86" s="5"/>
      <c r="P86" s="5"/>
      <c r="Q86" s="5"/>
      <c r="R86" s="5"/>
      <c r="S86" s="5"/>
      <c r="T86" s="5"/>
      <c r="U86" s="5"/>
      <c r="V86" s="5"/>
      <c r="W86" s="5"/>
    </row>
    <row r="87" spans="1:23" x14ac:dyDescent="0.15">
      <c r="A87" s="5"/>
      <c r="B87" s="5"/>
      <c r="C87" s="5"/>
      <c r="D87" s="5"/>
      <c r="E87" s="5"/>
      <c r="F87" s="5"/>
      <c r="G87" s="5"/>
      <c r="H87" s="5"/>
      <c r="I87" s="5"/>
      <c r="J87" s="5"/>
      <c r="K87" s="5"/>
      <c r="L87" s="5"/>
      <c r="M87" s="5"/>
      <c r="N87" s="5"/>
      <c r="O87" s="5"/>
      <c r="P87" s="5"/>
      <c r="Q87" s="5"/>
      <c r="R87" s="5"/>
      <c r="S87" s="5"/>
      <c r="T87" s="5"/>
      <c r="U87" s="5"/>
      <c r="V87" s="5"/>
      <c r="W87" s="5"/>
    </row>
    <row r="88" spans="1:23" x14ac:dyDescent="0.15">
      <c r="A88" s="5"/>
      <c r="B88" s="5"/>
      <c r="C88" s="5"/>
      <c r="D88" s="5"/>
      <c r="E88" s="5"/>
      <c r="F88" s="5"/>
      <c r="G88" s="5"/>
      <c r="H88" s="5"/>
      <c r="I88" s="5"/>
      <c r="J88" s="5"/>
      <c r="K88" s="5"/>
      <c r="L88" s="5"/>
      <c r="M88" s="5"/>
      <c r="N88" s="5"/>
      <c r="O88" s="5"/>
      <c r="P88" s="5"/>
      <c r="Q88" s="5"/>
      <c r="R88" s="5"/>
      <c r="S88" s="5"/>
      <c r="T88" s="5"/>
      <c r="U88" s="5"/>
      <c r="V88" s="5"/>
      <c r="W88" s="5"/>
    </row>
    <row r="89" spans="1:23" x14ac:dyDescent="0.15">
      <c r="A89" s="5"/>
      <c r="B89" s="5"/>
      <c r="C89" s="5"/>
      <c r="D89" s="5"/>
      <c r="E89" s="5"/>
      <c r="F89" s="5"/>
      <c r="G89" s="5"/>
      <c r="H89" s="5"/>
      <c r="I89" s="5"/>
      <c r="J89" s="5"/>
      <c r="K89" s="5"/>
      <c r="L89" s="5"/>
      <c r="M89" s="5"/>
      <c r="N89" s="5"/>
      <c r="O89" s="5"/>
      <c r="P89" s="5"/>
      <c r="Q89" s="5"/>
      <c r="R89" s="5"/>
      <c r="S89" s="5"/>
      <c r="T89" s="5"/>
      <c r="U89" s="5"/>
      <c r="V89" s="5"/>
      <c r="W89" s="5"/>
    </row>
    <row r="90" spans="1:23" x14ac:dyDescent="0.15">
      <c r="A90" s="5"/>
      <c r="B90" s="5"/>
      <c r="C90" s="5"/>
      <c r="D90" s="5"/>
      <c r="E90" s="5"/>
      <c r="F90" s="5"/>
      <c r="G90" s="5"/>
      <c r="H90" s="5"/>
      <c r="I90" s="5"/>
      <c r="J90" s="5"/>
      <c r="K90" s="5"/>
      <c r="L90" s="5"/>
      <c r="M90" s="5"/>
      <c r="N90" s="5"/>
      <c r="O90" s="5"/>
      <c r="P90" s="5"/>
      <c r="Q90" s="5"/>
      <c r="R90" s="5"/>
      <c r="S90" s="5"/>
      <c r="T90" s="5"/>
      <c r="U90" s="5"/>
      <c r="V90" s="5"/>
      <c r="W90" s="5"/>
    </row>
    <row r="91" spans="1:23" x14ac:dyDescent="0.15">
      <c r="A91" s="5"/>
      <c r="B91" s="5"/>
      <c r="C91" s="5"/>
      <c r="D91" s="5"/>
      <c r="E91" s="5"/>
      <c r="F91" s="5"/>
      <c r="G91" s="5"/>
      <c r="H91" s="5"/>
      <c r="I91" s="5"/>
      <c r="J91" s="5"/>
      <c r="K91" s="5"/>
      <c r="L91" s="5"/>
      <c r="M91" s="5"/>
      <c r="N91" s="5"/>
      <c r="O91" s="5"/>
      <c r="P91" s="5"/>
      <c r="Q91" s="5"/>
      <c r="R91" s="5"/>
      <c r="S91" s="5"/>
      <c r="T91" s="5"/>
      <c r="U91" s="5"/>
      <c r="V91" s="5"/>
      <c r="W91" s="5"/>
    </row>
    <row r="92" spans="1:23" x14ac:dyDescent="0.15">
      <c r="A92" s="5"/>
      <c r="B92" s="5"/>
      <c r="C92" s="5"/>
      <c r="D92" s="5"/>
      <c r="E92" s="5"/>
      <c r="F92" s="5"/>
      <c r="G92" s="5"/>
      <c r="H92" s="5"/>
      <c r="I92" s="5"/>
      <c r="J92" s="5"/>
      <c r="K92" s="5"/>
      <c r="L92" s="5"/>
      <c r="M92" s="5"/>
      <c r="N92" s="5"/>
      <c r="O92" s="5"/>
      <c r="P92" s="5"/>
      <c r="Q92" s="5"/>
      <c r="R92" s="5"/>
      <c r="S92" s="5"/>
      <c r="T92" s="5"/>
      <c r="U92" s="5"/>
      <c r="V92" s="5"/>
      <c r="W92" s="5"/>
    </row>
    <row r="93" spans="1:23" x14ac:dyDescent="0.15">
      <c r="A93" s="5"/>
      <c r="B93" s="5"/>
      <c r="C93" s="5"/>
      <c r="D93" s="5"/>
      <c r="E93" s="5"/>
      <c r="F93" s="5"/>
      <c r="G93" s="5"/>
      <c r="H93" s="5"/>
      <c r="I93" s="5"/>
      <c r="J93" s="5"/>
      <c r="K93" s="5"/>
      <c r="L93" s="5"/>
      <c r="M93" s="5"/>
      <c r="N93" s="5"/>
      <c r="O93" s="5"/>
      <c r="P93" s="5"/>
      <c r="Q93" s="5"/>
      <c r="R93" s="5"/>
      <c r="S93" s="5"/>
      <c r="T93" s="5"/>
      <c r="U93" s="5"/>
      <c r="V93" s="5"/>
      <c r="W93" s="5"/>
    </row>
    <row r="94" spans="1:23" x14ac:dyDescent="0.15">
      <c r="A94" s="5"/>
      <c r="B94" s="5"/>
      <c r="C94" s="5"/>
      <c r="D94" s="5"/>
      <c r="E94" s="5"/>
      <c r="F94" s="5"/>
      <c r="G94" s="5"/>
      <c r="H94" s="5"/>
      <c r="I94" s="5"/>
      <c r="J94" s="5"/>
      <c r="K94" s="5"/>
      <c r="L94" s="5"/>
      <c r="M94" s="5"/>
      <c r="N94" s="5"/>
      <c r="O94" s="5"/>
      <c r="P94" s="5"/>
      <c r="Q94" s="5"/>
      <c r="R94" s="5"/>
      <c r="S94" s="5"/>
      <c r="T94" s="5"/>
      <c r="U94" s="5"/>
      <c r="V94" s="5"/>
      <c r="W94" s="5"/>
    </row>
    <row r="95" spans="1:23" x14ac:dyDescent="0.15">
      <c r="A95" s="5"/>
      <c r="B95" s="5"/>
      <c r="C95" s="5"/>
      <c r="D95" s="5"/>
      <c r="E95" s="5"/>
      <c r="F95" s="5"/>
      <c r="G95" s="5"/>
      <c r="H95" s="5"/>
      <c r="I95" s="5"/>
      <c r="J95" s="5"/>
      <c r="K95" s="5"/>
      <c r="L95" s="5"/>
      <c r="M95" s="5"/>
      <c r="N95" s="5"/>
      <c r="O95" s="5"/>
      <c r="P95" s="5"/>
      <c r="Q95" s="5"/>
      <c r="R95" s="5"/>
      <c r="S95" s="5"/>
      <c r="T95" s="5"/>
      <c r="U95" s="5"/>
      <c r="V95" s="5"/>
      <c r="W95" s="5"/>
    </row>
    <row r="96" spans="1:23" x14ac:dyDescent="0.15">
      <c r="A96" s="5"/>
      <c r="B96" s="5"/>
      <c r="C96" s="5"/>
      <c r="D96" s="5"/>
      <c r="E96" s="5"/>
      <c r="F96" s="5"/>
      <c r="G96" s="5"/>
      <c r="H96" s="5"/>
      <c r="I96" s="5"/>
      <c r="J96" s="5"/>
      <c r="K96" s="5"/>
      <c r="L96" s="5"/>
      <c r="M96" s="5"/>
      <c r="N96" s="5"/>
      <c r="O96" s="5"/>
      <c r="P96" s="5"/>
      <c r="Q96" s="5"/>
      <c r="R96" s="5"/>
      <c r="S96" s="5"/>
      <c r="T96" s="5"/>
      <c r="U96" s="5"/>
      <c r="V96" s="5"/>
      <c r="W96" s="5"/>
    </row>
    <row r="97" spans="1:23" x14ac:dyDescent="0.15">
      <c r="A97" s="5"/>
      <c r="B97" s="5"/>
      <c r="C97" s="5"/>
      <c r="D97" s="5"/>
      <c r="E97" s="5"/>
      <c r="F97" s="5"/>
      <c r="G97" s="5"/>
      <c r="H97" s="5"/>
      <c r="I97" s="5"/>
      <c r="J97" s="5"/>
      <c r="K97" s="5"/>
      <c r="L97" s="5"/>
      <c r="M97" s="5"/>
      <c r="N97" s="5"/>
      <c r="O97" s="5"/>
      <c r="P97" s="5"/>
      <c r="Q97" s="5"/>
      <c r="R97" s="5"/>
      <c r="S97" s="5"/>
      <c r="T97" s="5"/>
      <c r="U97" s="5"/>
      <c r="V97" s="5"/>
      <c r="W97" s="5"/>
    </row>
    <row r="98" spans="1:23" x14ac:dyDescent="0.15">
      <c r="A98" s="5"/>
      <c r="B98" s="5"/>
      <c r="C98" s="5"/>
      <c r="D98" s="5"/>
      <c r="E98" s="5"/>
      <c r="F98" s="5"/>
      <c r="G98" s="5"/>
      <c r="H98" s="5"/>
      <c r="I98" s="5"/>
      <c r="J98" s="5"/>
      <c r="K98" s="5"/>
      <c r="L98" s="5"/>
      <c r="M98" s="5"/>
      <c r="N98" s="5"/>
      <c r="O98" s="5"/>
      <c r="P98" s="5"/>
      <c r="Q98" s="5"/>
      <c r="R98" s="5"/>
      <c r="S98" s="5"/>
      <c r="T98" s="5"/>
      <c r="U98" s="5"/>
      <c r="V98" s="5"/>
      <c r="W98" s="5"/>
    </row>
    <row r="99" spans="1:23" x14ac:dyDescent="0.15">
      <c r="A99" s="5"/>
      <c r="B99" s="5"/>
      <c r="C99" s="5"/>
      <c r="D99" s="5"/>
      <c r="E99" s="5"/>
      <c r="F99" s="5"/>
      <c r="G99" s="5"/>
      <c r="H99" s="5"/>
      <c r="I99" s="5"/>
      <c r="J99" s="5"/>
      <c r="K99" s="5"/>
      <c r="L99" s="5"/>
      <c r="M99" s="5"/>
      <c r="N99" s="5"/>
      <c r="O99" s="5"/>
      <c r="P99" s="5"/>
      <c r="Q99" s="5"/>
      <c r="R99" s="5"/>
      <c r="S99" s="5"/>
      <c r="T99" s="5"/>
      <c r="U99" s="5"/>
      <c r="V99" s="5"/>
      <c r="W99" s="5"/>
    </row>
    <row r="100" spans="1:23" x14ac:dyDescent="0.15">
      <c r="A100" s="5"/>
      <c r="B100" s="5"/>
      <c r="C100" s="5"/>
      <c r="D100" s="5"/>
      <c r="E100" s="5"/>
      <c r="F100" s="5"/>
      <c r="G100" s="5"/>
      <c r="H100" s="5"/>
      <c r="I100" s="5"/>
      <c r="J100" s="5"/>
      <c r="K100" s="5"/>
      <c r="L100" s="5"/>
      <c r="M100" s="5"/>
      <c r="N100" s="5"/>
      <c r="O100" s="5"/>
      <c r="P100" s="5"/>
      <c r="Q100" s="5"/>
      <c r="R100" s="5"/>
      <c r="S100" s="5"/>
      <c r="T100" s="5"/>
      <c r="U100" s="5"/>
      <c r="V100" s="5"/>
      <c r="W100" s="5"/>
    </row>
    <row r="101" spans="1:23" x14ac:dyDescent="0.15">
      <c r="A101" s="5"/>
      <c r="B101" s="5"/>
      <c r="C101" s="5"/>
      <c r="D101" s="5"/>
      <c r="E101" s="5"/>
      <c r="F101" s="5"/>
      <c r="G101" s="5"/>
      <c r="H101" s="5"/>
      <c r="I101" s="5"/>
      <c r="J101" s="5"/>
      <c r="K101" s="5"/>
      <c r="L101" s="5"/>
      <c r="M101" s="5"/>
      <c r="N101" s="5"/>
      <c r="O101" s="5"/>
      <c r="P101" s="5"/>
      <c r="Q101" s="5"/>
      <c r="R101" s="5"/>
      <c r="S101" s="5"/>
      <c r="T101" s="5"/>
      <c r="U101" s="5"/>
      <c r="V101" s="5"/>
      <c r="W101" s="5"/>
    </row>
    <row r="102" spans="1:23" x14ac:dyDescent="0.15">
      <c r="A102" s="5"/>
      <c r="B102" s="5"/>
      <c r="C102" s="5"/>
      <c r="D102" s="5"/>
      <c r="E102" s="5"/>
      <c r="F102" s="5"/>
      <c r="G102" s="5"/>
      <c r="H102" s="5"/>
      <c r="I102" s="5"/>
      <c r="J102" s="5"/>
      <c r="K102" s="5"/>
      <c r="L102" s="5"/>
      <c r="M102" s="5"/>
      <c r="N102" s="5"/>
      <c r="O102" s="5"/>
      <c r="P102" s="5"/>
      <c r="Q102" s="5"/>
      <c r="R102" s="5"/>
      <c r="S102" s="5"/>
      <c r="T102" s="5"/>
      <c r="U102" s="5"/>
      <c r="V102" s="5"/>
      <c r="W102" s="5"/>
    </row>
    <row r="103" spans="1:23" x14ac:dyDescent="0.15">
      <c r="A103" s="5"/>
      <c r="B103" s="5"/>
      <c r="C103" s="5"/>
      <c r="D103" s="5"/>
      <c r="E103" s="5"/>
      <c r="F103" s="5"/>
      <c r="G103" s="5"/>
      <c r="H103" s="5"/>
      <c r="I103" s="5"/>
      <c r="J103" s="5"/>
      <c r="K103" s="5"/>
      <c r="L103" s="5"/>
      <c r="M103" s="5"/>
      <c r="N103" s="5"/>
      <c r="O103" s="5"/>
      <c r="P103" s="5"/>
      <c r="Q103" s="5"/>
      <c r="R103" s="5"/>
      <c r="S103" s="5"/>
      <c r="T103" s="5"/>
      <c r="U103" s="5"/>
      <c r="V103" s="5"/>
      <c r="W103" s="5"/>
    </row>
    <row r="104" spans="1:23" x14ac:dyDescent="0.15">
      <c r="A104" s="5"/>
      <c r="B104" s="5"/>
      <c r="C104" s="5"/>
      <c r="D104" s="5"/>
      <c r="E104" s="5"/>
      <c r="F104" s="5"/>
      <c r="G104" s="5"/>
      <c r="H104" s="5"/>
      <c r="I104" s="5"/>
      <c r="J104" s="5"/>
      <c r="K104" s="5"/>
      <c r="L104" s="5"/>
      <c r="M104" s="5"/>
      <c r="N104" s="5"/>
      <c r="O104" s="5"/>
      <c r="P104" s="5"/>
      <c r="Q104" s="5"/>
      <c r="R104" s="5"/>
      <c r="S104" s="5"/>
      <c r="T104" s="5"/>
      <c r="U104" s="5"/>
      <c r="V104" s="5"/>
      <c r="W104" s="5"/>
    </row>
    <row r="105" spans="1:23" x14ac:dyDescent="0.15">
      <c r="A105" s="5"/>
      <c r="B105" s="5"/>
      <c r="C105" s="5"/>
      <c r="D105" s="5"/>
      <c r="E105" s="5"/>
      <c r="F105" s="5"/>
      <c r="G105" s="5"/>
      <c r="H105" s="5"/>
      <c r="I105" s="5"/>
      <c r="J105" s="5"/>
      <c r="K105" s="5"/>
      <c r="L105" s="5"/>
      <c r="M105" s="5"/>
      <c r="N105" s="5"/>
      <c r="O105" s="5"/>
      <c r="P105" s="5"/>
      <c r="Q105" s="5"/>
      <c r="R105" s="5"/>
      <c r="S105" s="5"/>
      <c r="T105" s="5"/>
      <c r="U105" s="5"/>
      <c r="V105" s="5"/>
      <c r="W105" s="5"/>
    </row>
    <row r="106" spans="1:23" x14ac:dyDescent="0.15">
      <c r="A106" s="5"/>
      <c r="B106" s="5"/>
      <c r="C106" s="5"/>
      <c r="D106" s="5"/>
      <c r="E106" s="5"/>
      <c r="F106" s="5"/>
      <c r="G106" s="5"/>
      <c r="H106" s="5"/>
      <c r="I106" s="5"/>
      <c r="J106" s="5"/>
      <c r="K106" s="5"/>
      <c r="L106" s="5"/>
      <c r="M106" s="5"/>
      <c r="N106" s="5"/>
      <c r="O106" s="5"/>
      <c r="P106" s="5"/>
      <c r="Q106" s="5"/>
      <c r="R106" s="5"/>
      <c r="S106" s="5"/>
      <c r="T106" s="5"/>
      <c r="U106" s="5"/>
      <c r="V106" s="5"/>
      <c r="W106" s="5"/>
    </row>
    <row r="107" spans="1:23" x14ac:dyDescent="0.15">
      <c r="A107" s="5"/>
      <c r="B107" s="5"/>
      <c r="C107" s="5"/>
      <c r="D107" s="5"/>
      <c r="E107" s="5"/>
      <c r="F107" s="5"/>
      <c r="G107" s="5"/>
      <c r="H107" s="5"/>
      <c r="I107" s="5"/>
      <c r="J107" s="5"/>
      <c r="K107" s="5"/>
      <c r="L107" s="5"/>
      <c r="M107" s="5"/>
      <c r="N107" s="5"/>
      <c r="O107" s="5"/>
      <c r="P107" s="5"/>
      <c r="Q107" s="5"/>
      <c r="R107" s="5"/>
      <c r="S107" s="5"/>
      <c r="T107" s="5"/>
      <c r="U107" s="5"/>
      <c r="V107" s="5"/>
      <c r="W107" s="5"/>
    </row>
    <row r="108" spans="1:23" x14ac:dyDescent="0.15">
      <c r="A108" s="5"/>
      <c r="B108" s="5"/>
      <c r="C108" s="5"/>
      <c r="D108" s="5"/>
      <c r="E108" s="5"/>
      <c r="F108" s="5"/>
      <c r="G108" s="5"/>
      <c r="H108" s="5"/>
      <c r="I108" s="5"/>
      <c r="J108" s="5"/>
      <c r="K108" s="5"/>
      <c r="L108" s="5"/>
      <c r="M108" s="5"/>
      <c r="N108" s="5"/>
      <c r="O108" s="5"/>
      <c r="P108" s="5"/>
      <c r="Q108" s="5"/>
      <c r="R108" s="5"/>
      <c r="S108" s="5"/>
      <c r="T108" s="5"/>
      <c r="U108" s="5"/>
      <c r="V108" s="5"/>
      <c r="W108" s="5"/>
    </row>
    <row r="109" spans="1:23" x14ac:dyDescent="0.15">
      <c r="A109" s="5"/>
      <c r="B109" s="5"/>
      <c r="C109" s="5"/>
      <c r="D109" s="5"/>
      <c r="E109" s="5"/>
      <c r="F109" s="5"/>
      <c r="G109" s="5"/>
      <c r="H109" s="5"/>
      <c r="I109" s="5"/>
      <c r="J109" s="5"/>
      <c r="K109" s="5"/>
      <c r="L109" s="5"/>
      <c r="M109" s="5"/>
      <c r="N109" s="5"/>
      <c r="O109" s="5"/>
      <c r="P109" s="5"/>
      <c r="Q109" s="5"/>
      <c r="R109" s="5"/>
      <c r="S109" s="5"/>
      <c r="T109" s="5"/>
      <c r="U109" s="5"/>
      <c r="V109" s="5"/>
      <c r="W109" s="5"/>
    </row>
    <row r="110" spans="1:23" x14ac:dyDescent="0.15">
      <c r="A110" s="5"/>
      <c r="B110" s="5"/>
      <c r="C110" s="5"/>
      <c r="D110" s="5"/>
      <c r="E110" s="5"/>
      <c r="F110" s="5"/>
      <c r="G110" s="5"/>
      <c r="H110" s="5"/>
      <c r="I110" s="5"/>
      <c r="J110" s="5"/>
      <c r="K110" s="5"/>
      <c r="L110" s="5"/>
      <c r="M110" s="5"/>
      <c r="N110" s="5"/>
      <c r="O110" s="5"/>
      <c r="P110" s="5"/>
      <c r="Q110" s="5"/>
      <c r="R110" s="5"/>
      <c r="S110" s="5"/>
      <c r="T110" s="5"/>
      <c r="U110" s="5"/>
      <c r="V110" s="5"/>
      <c r="W110" s="5"/>
    </row>
    <row r="111" spans="1:23" x14ac:dyDescent="0.15">
      <c r="A111" s="5"/>
      <c r="B111" s="5"/>
      <c r="C111" s="5"/>
      <c r="D111" s="5"/>
      <c r="E111" s="5"/>
      <c r="F111" s="5"/>
      <c r="G111" s="5"/>
      <c r="H111" s="5"/>
      <c r="I111" s="5"/>
      <c r="J111" s="5"/>
      <c r="K111" s="5"/>
      <c r="L111" s="5"/>
      <c r="M111" s="5"/>
      <c r="N111" s="5"/>
      <c r="O111" s="5"/>
      <c r="P111" s="5"/>
      <c r="Q111" s="5"/>
      <c r="R111" s="5"/>
      <c r="S111" s="5"/>
      <c r="T111" s="5"/>
      <c r="U111" s="5"/>
      <c r="V111" s="5"/>
      <c r="W111" s="5"/>
    </row>
    <row r="112" spans="1:23" x14ac:dyDescent="0.15">
      <c r="A112" s="5"/>
      <c r="B112" s="5"/>
      <c r="C112" s="5"/>
      <c r="D112" s="5"/>
      <c r="E112" s="5"/>
      <c r="F112" s="5"/>
      <c r="G112" s="5"/>
      <c r="H112" s="5"/>
      <c r="I112" s="5"/>
      <c r="J112" s="5"/>
      <c r="K112" s="5"/>
      <c r="L112" s="5"/>
      <c r="M112" s="5"/>
      <c r="N112" s="5"/>
      <c r="O112" s="5"/>
      <c r="P112" s="5"/>
      <c r="Q112" s="5"/>
      <c r="R112" s="5"/>
      <c r="S112" s="5"/>
      <c r="T112" s="5"/>
      <c r="U112" s="5"/>
      <c r="V112" s="5"/>
      <c r="W112" s="5"/>
    </row>
    <row r="113" spans="1:23" x14ac:dyDescent="0.15">
      <c r="A113" s="5"/>
      <c r="B113" s="5"/>
      <c r="C113" s="5"/>
      <c r="D113" s="5"/>
      <c r="E113" s="5"/>
      <c r="F113" s="5"/>
      <c r="G113" s="5"/>
      <c r="H113" s="5"/>
      <c r="I113" s="5"/>
      <c r="J113" s="5"/>
      <c r="K113" s="5"/>
      <c r="L113" s="5"/>
      <c r="M113" s="5"/>
      <c r="N113" s="5"/>
      <c r="O113" s="5"/>
      <c r="P113" s="5"/>
      <c r="Q113" s="5"/>
      <c r="R113" s="5"/>
      <c r="S113" s="5"/>
      <c r="T113" s="5"/>
      <c r="U113" s="5"/>
      <c r="V113" s="5"/>
      <c r="W113" s="5"/>
    </row>
    <row r="114" spans="1:23" x14ac:dyDescent="0.15">
      <c r="A114" s="5"/>
      <c r="B114" s="5"/>
      <c r="C114" s="5"/>
      <c r="D114" s="5"/>
      <c r="E114" s="5"/>
      <c r="F114" s="5"/>
      <c r="G114" s="5"/>
      <c r="H114" s="5"/>
      <c r="I114" s="5"/>
      <c r="J114" s="5"/>
      <c r="K114" s="5"/>
      <c r="L114" s="5"/>
      <c r="M114" s="5"/>
      <c r="N114" s="5"/>
      <c r="O114" s="5"/>
      <c r="P114" s="5"/>
      <c r="Q114" s="5"/>
      <c r="R114" s="5"/>
      <c r="S114" s="5"/>
      <c r="T114" s="5"/>
      <c r="U114" s="5"/>
      <c r="V114" s="5"/>
      <c r="W114" s="5"/>
    </row>
    <row r="115" spans="1:23" x14ac:dyDescent="0.15">
      <c r="A115" s="5"/>
      <c r="B115" s="5"/>
      <c r="C115" s="5"/>
      <c r="D115" s="5"/>
      <c r="E115" s="5"/>
      <c r="F115" s="5"/>
      <c r="G115" s="5"/>
      <c r="H115" s="5"/>
      <c r="I115" s="5"/>
      <c r="J115" s="5"/>
      <c r="K115" s="5"/>
      <c r="L115" s="5"/>
      <c r="M115" s="5"/>
      <c r="N115" s="5"/>
      <c r="O115" s="5"/>
      <c r="P115" s="5"/>
      <c r="Q115" s="5"/>
      <c r="R115" s="5"/>
      <c r="S115" s="5"/>
      <c r="T115" s="5"/>
      <c r="U115" s="5"/>
      <c r="V115" s="5"/>
      <c r="W115" s="5"/>
    </row>
    <row r="116" spans="1:23" x14ac:dyDescent="0.15">
      <c r="A116" s="5"/>
      <c r="B116" s="5"/>
      <c r="C116" s="5"/>
      <c r="D116" s="5"/>
      <c r="E116" s="5"/>
      <c r="F116" s="5"/>
      <c r="G116" s="5"/>
      <c r="H116" s="5"/>
      <c r="I116" s="5"/>
      <c r="J116" s="5"/>
      <c r="K116" s="5"/>
      <c r="L116" s="5"/>
      <c r="M116" s="5"/>
      <c r="N116" s="5"/>
      <c r="O116" s="5"/>
      <c r="P116" s="5"/>
      <c r="Q116" s="5"/>
      <c r="R116" s="5"/>
      <c r="S116" s="5"/>
      <c r="T116" s="5"/>
      <c r="U116" s="5"/>
      <c r="V116" s="5"/>
      <c r="W116" s="5"/>
    </row>
    <row r="117" spans="1:23" x14ac:dyDescent="0.15">
      <c r="A117" s="5"/>
      <c r="B117" s="5"/>
      <c r="C117" s="5"/>
      <c r="D117" s="5"/>
      <c r="E117" s="5"/>
      <c r="F117" s="5"/>
      <c r="G117" s="5"/>
      <c r="H117" s="5"/>
      <c r="I117" s="5"/>
      <c r="J117" s="5"/>
      <c r="K117" s="5"/>
      <c r="L117" s="5"/>
      <c r="M117" s="5"/>
      <c r="N117" s="5"/>
      <c r="O117" s="5"/>
      <c r="P117" s="5"/>
      <c r="Q117" s="5"/>
      <c r="R117" s="5"/>
      <c r="S117" s="5"/>
      <c r="T117" s="5"/>
      <c r="U117" s="5"/>
      <c r="V117" s="5"/>
      <c r="W117" s="5"/>
    </row>
    <row r="118" spans="1:23" x14ac:dyDescent="0.15">
      <c r="A118" s="5"/>
      <c r="B118" s="5"/>
      <c r="C118" s="5"/>
      <c r="D118" s="5"/>
      <c r="E118" s="5"/>
      <c r="F118" s="5"/>
      <c r="G118" s="5"/>
      <c r="H118" s="5"/>
      <c r="I118" s="5"/>
      <c r="J118" s="5"/>
      <c r="K118" s="5"/>
      <c r="L118" s="5"/>
      <c r="M118" s="5"/>
      <c r="N118" s="5"/>
      <c r="O118" s="5"/>
      <c r="P118" s="5"/>
      <c r="Q118" s="5"/>
      <c r="R118" s="5"/>
      <c r="S118" s="5"/>
      <c r="T118" s="5"/>
      <c r="U118" s="5"/>
      <c r="V118" s="5"/>
      <c r="W118" s="5"/>
    </row>
    <row r="119" spans="1:23" x14ac:dyDescent="0.15">
      <c r="A119" s="5"/>
      <c r="B119" s="5"/>
      <c r="C119" s="5"/>
      <c r="D119" s="5"/>
      <c r="E119" s="5"/>
      <c r="F119" s="5"/>
      <c r="G119" s="5"/>
      <c r="H119" s="5"/>
      <c r="I119" s="5"/>
      <c r="J119" s="5"/>
      <c r="K119" s="5"/>
      <c r="L119" s="5"/>
      <c r="M119" s="5"/>
      <c r="N119" s="5"/>
      <c r="O119" s="5"/>
      <c r="P119" s="5"/>
      <c r="Q119" s="5"/>
      <c r="R119" s="5"/>
      <c r="S119" s="5"/>
      <c r="T119" s="5"/>
      <c r="U119" s="5"/>
      <c r="V119" s="5"/>
      <c r="W119" s="5"/>
    </row>
    <row r="120" spans="1:23" x14ac:dyDescent="0.15">
      <c r="A120" s="5"/>
      <c r="B120" s="5"/>
      <c r="C120" s="5"/>
      <c r="D120" s="5"/>
      <c r="E120" s="5"/>
      <c r="F120" s="5"/>
      <c r="G120" s="5"/>
      <c r="H120" s="5"/>
      <c r="I120" s="5"/>
      <c r="J120" s="5"/>
      <c r="K120" s="5"/>
      <c r="L120" s="5"/>
      <c r="M120" s="5"/>
      <c r="N120" s="5"/>
      <c r="O120" s="5"/>
      <c r="P120" s="5"/>
      <c r="Q120" s="5"/>
      <c r="R120" s="5"/>
      <c r="S120" s="5"/>
      <c r="T120" s="5"/>
      <c r="U120" s="5"/>
      <c r="V120" s="5"/>
      <c r="W120" s="5"/>
    </row>
    <row r="121" spans="1:23" x14ac:dyDescent="0.15">
      <c r="A121" s="5"/>
      <c r="B121" s="5"/>
      <c r="C121" s="5"/>
      <c r="D121" s="5"/>
      <c r="E121" s="5"/>
      <c r="F121" s="5"/>
      <c r="G121" s="5"/>
      <c r="H121" s="5"/>
      <c r="I121" s="5"/>
      <c r="J121" s="5"/>
      <c r="K121" s="5"/>
      <c r="L121" s="5"/>
      <c r="M121" s="5"/>
      <c r="N121" s="5"/>
      <c r="O121" s="5"/>
      <c r="P121" s="5"/>
      <c r="Q121" s="5"/>
      <c r="R121" s="5"/>
      <c r="S121" s="5"/>
      <c r="T121" s="5"/>
      <c r="U121" s="5"/>
      <c r="V121" s="5"/>
      <c r="W121" s="5"/>
    </row>
    <row r="122" spans="1:23" x14ac:dyDescent="0.15">
      <c r="A122" s="5"/>
      <c r="B122" s="5"/>
      <c r="C122" s="5"/>
      <c r="D122" s="5"/>
      <c r="E122" s="5"/>
      <c r="F122" s="5"/>
      <c r="G122" s="5"/>
      <c r="H122" s="5"/>
      <c r="I122" s="5"/>
      <c r="J122" s="5"/>
      <c r="K122" s="5"/>
      <c r="L122" s="5"/>
      <c r="M122" s="5"/>
      <c r="N122" s="5"/>
      <c r="O122" s="5"/>
      <c r="P122" s="5"/>
      <c r="Q122" s="5"/>
      <c r="R122" s="5"/>
      <c r="S122" s="5"/>
      <c r="T122" s="5"/>
      <c r="U122" s="5"/>
      <c r="V122" s="5"/>
      <c r="W122" s="5"/>
    </row>
    <row r="123" spans="1:23" x14ac:dyDescent="0.15">
      <c r="A123" s="5"/>
      <c r="B123" s="5"/>
      <c r="C123" s="5"/>
      <c r="D123" s="5"/>
      <c r="E123" s="5"/>
      <c r="F123" s="5"/>
      <c r="G123" s="5"/>
      <c r="H123" s="5"/>
      <c r="I123" s="5"/>
      <c r="J123" s="5"/>
      <c r="K123" s="5"/>
      <c r="L123" s="5"/>
      <c r="M123" s="5"/>
      <c r="N123" s="5"/>
      <c r="O123" s="5"/>
      <c r="P123" s="5"/>
      <c r="Q123" s="5"/>
      <c r="R123" s="5"/>
      <c r="S123" s="5"/>
      <c r="T123" s="5"/>
      <c r="U123" s="5"/>
      <c r="V123" s="5"/>
      <c r="W123" s="5"/>
    </row>
    <row r="124" spans="1:23" x14ac:dyDescent="0.15">
      <c r="A124" s="5"/>
      <c r="B124" s="5"/>
      <c r="C124" s="5"/>
      <c r="D124" s="5"/>
      <c r="E124" s="5"/>
      <c r="F124" s="5"/>
      <c r="G124" s="5"/>
      <c r="H124" s="5"/>
      <c r="I124" s="5"/>
      <c r="J124" s="5"/>
      <c r="K124" s="5"/>
      <c r="L124" s="5"/>
      <c r="M124" s="5"/>
      <c r="N124" s="5"/>
      <c r="O124" s="5"/>
      <c r="P124" s="5"/>
      <c r="Q124" s="5"/>
      <c r="R124" s="5"/>
      <c r="S124" s="5"/>
      <c r="T124" s="5"/>
      <c r="U124" s="5"/>
      <c r="V124" s="5"/>
      <c r="W124" s="5"/>
    </row>
    <row r="125" spans="1:23" x14ac:dyDescent="0.15">
      <c r="A125" s="5"/>
      <c r="B125" s="5"/>
      <c r="C125" s="5"/>
      <c r="D125" s="5"/>
      <c r="E125" s="5"/>
      <c r="F125" s="5"/>
      <c r="G125" s="5"/>
      <c r="H125" s="5"/>
      <c r="I125" s="5"/>
      <c r="J125" s="5"/>
      <c r="K125" s="5"/>
      <c r="L125" s="5"/>
      <c r="M125" s="5"/>
      <c r="N125" s="5"/>
      <c r="O125" s="5"/>
      <c r="P125" s="5"/>
      <c r="Q125" s="5"/>
      <c r="R125" s="5"/>
      <c r="S125" s="5"/>
      <c r="T125" s="5"/>
      <c r="U125" s="5"/>
      <c r="V125" s="5"/>
      <c r="W125" s="5"/>
    </row>
    <row r="126" spans="1:23" x14ac:dyDescent="0.15">
      <c r="A126" s="5"/>
      <c r="B126" s="5"/>
      <c r="C126" s="5"/>
      <c r="D126" s="5"/>
      <c r="E126" s="5"/>
      <c r="F126" s="5"/>
      <c r="G126" s="5"/>
      <c r="H126" s="5"/>
      <c r="I126" s="5"/>
      <c r="J126" s="5"/>
      <c r="K126" s="5"/>
      <c r="L126" s="5"/>
      <c r="M126" s="5"/>
      <c r="N126" s="5"/>
      <c r="O126" s="5"/>
      <c r="P126" s="5"/>
      <c r="Q126" s="5"/>
      <c r="R126" s="5"/>
      <c r="S126" s="5"/>
      <c r="T126" s="5"/>
      <c r="U126" s="5"/>
      <c r="V126" s="5"/>
      <c r="W126" s="5"/>
    </row>
    <row r="127" spans="1:23" x14ac:dyDescent="0.15">
      <c r="A127" s="5"/>
      <c r="B127" s="5"/>
      <c r="C127" s="5"/>
      <c r="D127" s="5"/>
      <c r="E127" s="5"/>
      <c r="F127" s="5"/>
      <c r="G127" s="5"/>
      <c r="H127" s="5"/>
      <c r="I127" s="5"/>
      <c r="J127" s="5"/>
      <c r="K127" s="5"/>
      <c r="L127" s="5"/>
      <c r="M127" s="5"/>
      <c r="N127" s="5"/>
      <c r="O127" s="5"/>
      <c r="P127" s="5"/>
      <c r="Q127" s="5"/>
      <c r="R127" s="5"/>
      <c r="S127" s="5"/>
      <c r="T127" s="5"/>
      <c r="U127" s="5"/>
      <c r="V127" s="5"/>
      <c r="W127" s="5"/>
    </row>
    <row r="128" spans="1:23" x14ac:dyDescent="0.15">
      <c r="A128" s="5"/>
      <c r="B128" s="5"/>
      <c r="C128" s="5"/>
      <c r="D128" s="5"/>
      <c r="E128" s="5"/>
      <c r="F128" s="5"/>
      <c r="G128" s="5"/>
      <c r="H128" s="5"/>
      <c r="I128" s="5"/>
      <c r="J128" s="5"/>
      <c r="K128" s="5"/>
      <c r="L128" s="5"/>
      <c r="M128" s="5"/>
      <c r="N128" s="5"/>
      <c r="O128" s="5"/>
      <c r="P128" s="5"/>
      <c r="Q128" s="5"/>
      <c r="R128" s="5"/>
      <c r="S128" s="5"/>
      <c r="T128" s="5"/>
      <c r="U128" s="5"/>
      <c r="V128" s="5"/>
      <c r="W128" s="5"/>
    </row>
    <row r="129" spans="1:23" x14ac:dyDescent="0.15">
      <c r="A129" s="5"/>
      <c r="B129" s="5"/>
      <c r="C129" s="5"/>
      <c r="D129" s="5"/>
      <c r="E129" s="5"/>
      <c r="F129" s="5"/>
      <c r="G129" s="5"/>
      <c r="H129" s="5"/>
      <c r="I129" s="5"/>
      <c r="J129" s="5"/>
      <c r="K129" s="5"/>
      <c r="L129" s="5"/>
      <c r="M129" s="5"/>
      <c r="N129" s="5"/>
      <c r="O129" s="5"/>
      <c r="P129" s="5"/>
      <c r="Q129" s="5"/>
      <c r="R129" s="5"/>
      <c r="S129" s="5"/>
      <c r="T129" s="5"/>
      <c r="U129" s="5"/>
      <c r="V129" s="5"/>
      <c r="W129" s="5"/>
    </row>
    <row r="130" spans="1:23" x14ac:dyDescent="0.15">
      <c r="A130" s="5"/>
      <c r="B130" s="5"/>
      <c r="C130" s="5"/>
      <c r="D130" s="5"/>
      <c r="E130" s="5"/>
      <c r="F130" s="5"/>
      <c r="G130" s="5"/>
      <c r="H130" s="5"/>
      <c r="I130" s="5"/>
      <c r="J130" s="5"/>
      <c r="K130" s="5"/>
      <c r="L130" s="5"/>
      <c r="M130" s="5"/>
      <c r="N130" s="5"/>
      <c r="O130" s="5"/>
      <c r="P130" s="5"/>
      <c r="Q130" s="5"/>
      <c r="R130" s="5"/>
      <c r="S130" s="5"/>
      <c r="T130" s="5"/>
      <c r="U130" s="5"/>
      <c r="V130" s="5"/>
      <c r="W130" s="5"/>
    </row>
    <row r="131" spans="1:23" x14ac:dyDescent="0.15">
      <c r="A131" s="5"/>
      <c r="B131" s="5"/>
      <c r="C131" s="5"/>
      <c r="D131" s="5"/>
      <c r="E131" s="5"/>
      <c r="F131" s="5"/>
      <c r="G131" s="5"/>
      <c r="H131" s="5"/>
      <c r="I131" s="5"/>
      <c r="J131" s="5"/>
      <c r="K131" s="5"/>
      <c r="L131" s="5"/>
      <c r="M131" s="5"/>
      <c r="N131" s="5"/>
      <c r="O131" s="5"/>
      <c r="P131" s="5"/>
      <c r="Q131" s="5"/>
      <c r="R131" s="5"/>
      <c r="S131" s="5"/>
      <c r="T131" s="5"/>
      <c r="U131" s="5"/>
      <c r="V131" s="5"/>
      <c r="W131" s="5"/>
    </row>
    <row r="132" spans="1:23" x14ac:dyDescent="0.15">
      <c r="A132" s="5"/>
      <c r="B132" s="5"/>
      <c r="C132" s="5"/>
      <c r="D132" s="5"/>
      <c r="E132" s="5"/>
      <c r="F132" s="5"/>
      <c r="G132" s="5"/>
      <c r="H132" s="5"/>
      <c r="I132" s="5"/>
      <c r="J132" s="5"/>
      <c r="K132" s="5"/>
      <c r="L132" s="5"/>
      <c r="M132" s="5"/>
      <c r="N132" s="5"/>
      <c r="O132" s="5"/>
      <c r="P132" s="5"/>
      <c r="Q132" s="5"/>
      <c r="R132" s="5"/>
      <c r="S132" s="5"/>
      <c r="T132" s="5"/>
      <c r="U132" s="5"/>
      <c r="V132" s="5"/>
      <c r="W132" s="5"/>
    </row>
    <row r="133" spans="1:23" x14ac:dyDescent="0.15">
      <c r="A133" s="5"/>
      <c r="B133" s="5"/>
      <c r="C133" s="5"/>
      <c r="D133" s="5"/>
      <c r="E133" s="5"/>
      <c r="F133" s="5"/>
      <c r="G133" s="5"/>
      <c r="H133" s="5"/>
      <c r="I133" s="5"/>
      <c r="J133" s="5"/>
      <c r="K133" s="5"/>
      <c r="L133" s="5"/>
      <c r="M133" s="5"/>
      <c r="N133" s="5"/>
      <c r="O133" s="5"/>
      <c r="P133" s="5"/>
      <c r="Q133" s="5"/>
      <c r="R133" s="5"/>
      <c r="S133" s="5"/>
      <c r="T133" s="5"/>
      <c r="U133" s="5"/>
      <c r="V133" s="5"/>
      <c r="W133" s="5"/>
    </row>
    <row r="134" spans="1:23" x14ac:dyDescent="0.15">
      <c r="A134" s="5"/>
      <c r="B134" s="5"/>
      <c r="C134" s="5"/>
      <c r="D134" s="5"/>
      <c r="E134" s="5"/>
      <c r="F134" s="5"/>
      <c r="G134" s="5"/>
      <c r="H134" s="5"/>
      <c r="I134" s="5"/>
      <c r="J134" s="5"/>
      <c r="K134" s="5"/>
      <c r="L134" s="5"/>
      <c r="M134" s="5"/>
      <c r="N134" s="5"/>
      <c r="O134" s="5"/>
      <c r="P134" s="5"/>
      <c r="Q134" s="5"/>
      <c r="R134" s="5"/>
      <c r="S134" s="5"/>
      <c r="T134" s="5"/>
      <c r="U134" s="5"/>
      <c r="V134" s="5"/>
      <c r="W134" s="5"/>
    </row>
    <row r="135" spans="1:23" x14ac:dyDescent="0.15">
      <c r="A135" s="5"/>
      <c r="B135" s="5"/>
      <c r="C135" s="5"/>
      <c r="D135" s="5"/>
      <c r="E135" s="5"/>
      <c r="F135" s="5"/>
      <c r="G135" s="5"/>
      <c r="H135" s="5"/>
      <c r="I135" s="5"/>
      <c r="J135" s="5"/>
      <c r="K135" s="5"/>
      <c r="L135" s="5"/>
      <c r="M135" s="5"/>
      <c r="N135" s="5"/>
      <c r="O135" s="5"/>
      <c r="P135" s="5"/>
      <c r="Q135" s="5"/>
      <c r="R135" s="5"/>
      <c r="S135" s="5"/>
      <c r="T135" s="5"/>
      <c r="U135" s="5"/>
      <c r="V135" s="5"/>
      <c r="W135" s="5"/>
    </row>
  </sheetData>
  <mergeCells count="1">
    <mergeCell ref="G1:P1"/>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68DD-6BA1-4CBF-AF16-D4B8AB832C17}">
  <sheetPr>
    <tabColor rgb="FFFFC000"/>
  </sheetPr>
  <dimension ref="A1:I157"/>
  <sheetViews>
    <sheetView workbookViewId="0">
      <selection activeCell="I3" sqref="I3"/>
    </sheetView>
  </sheetViews>
  <sheetFormatPr baseColWidth="10" defaultColWidth="8.7109375" defaultRowHeight="21" x14ac:dyDescent="0.25"/>
  <cols>
    <col min="1" max="1" width="13.28515625" style="25" customWidth="1"/>
    <col min="2" max="2" width="13.140625" style="25" customWidth="1"/>
    <col min="3" max="3" width="8.7109375" style="25"/>
    <col min="4" max="4" width="11.140625" style="25" customWidth="1"/>
    <col min="5" max="5" width="11.85546875" style="25" customWidth="1"/>
    <col min="6" max="6" width="15" style="25" customWidth="1"/>
    <col min="7" max="7" width="20.5703125" style="25" bestFit="1" customWidth="1"/>
    <col min="8" max="8" width="18.42578125" style="25" customWidth="1"/>
    <col min="9" max="9" width="13.140625" style="25" customWidth="1"/>
    <col min="10" max="10" width="12.5703125" style="25" bestFit="1" customWidth="1"/>
    <col min="11" max="16384" width="8.7109375" style="25"/>
  </cols>
  <sheetData>
    <row r="1" spans="1:9" x14ac:dyDescent="0.25">
      <c r="A1" s="24" t="s">
        <v>0</v>
      </c>
      <c r="B1" s="24" t="s">
        <v>79</v>
      </c>
      <c r="C1" s="24" t="s">
        <v>80</v>
      </c>
      <c r="D1" s="24" t="s">
        <v>81</v>
      </c>
      <c r="E1" s="24" t="s">
        <v>82</v>
      </c>
      <c r="F1" s="24" t="s">
        <v>82</v>
      </c>
      <c r="G1" s="24" t="s">
        <v>83</v>
      </c>
      <c r="H1" s="24" t="s">
        <v>84</v>
      </c>
      <c r="I1" s="24" t="s">
        <v>85</v>
      </c>
    </row>
    <row r="2" spans="1:9" x14ac:dyDescent="0.25">
      <c r="A2" s="26">
        <v>44944</v>
      </c>
      <c r="B2" s="27">
        <f>YEAR(DATE(YEAR(A2),MONTH(A2)-3,1))</f>
        <v>2022</v>
      </c>
      <c r="C2" s="28">
        <f>CHOOSE(MONTH(A2),4,4,4,1,1,1,2,2,2,3,3,3)</f>
        <v>4</v>
      </c>
      <c r="D2" s="29" t="str">
        <f>"Qtr "&amp;CHOOSE(MONTH(A2),4,4,4,1,1,1,2,2,2,3,3,3)</f>
        <v>Qtr 4</v>
      </c>
      <c r="E2" s="29" t="str">
        <f>YEAR(DATE(YEAR(A2),MONTH(A2)-3,1))&amp;"-"&amp;YEAR(DATE(YEAR(A2),MONTH(A2)+9,1))</f>
        <v>2022-2023</v>
      </c>
      <c r="F2" s="29">
        <f>YEAR(A2)+(MONTH(A2)&gt;=4)</f>
        <v>2023</v>
      </c>
      <c r="G2" s="29" t="str">
        <f>"Qtr"&amp;ROUNDUP(MONTH(A2)/3,0)&amp;" "&amp;YEAR(A2)</f>
        <v>Qtr1 2023</v>
      </c>
      <c r="H2" s="29" t="s">
        <v>86</v>
      </c>
      <c r="I2" s="29" t="str">
        <f>LEFT(H2,3)&amp;IF(MID(H2,4,1)="1",4,MID(H2,4,1)-1)</f>
        <v>Qtr4</v>
      </c>
    </row>
    <row r="3" spans="1:9" x14ac:dyDescent="0.25">
      <c r="A3" s="26">
        <v>45003</v>
      </c>
      <c r="B3" s="27">
        <f t="shared" ref="B3:B66" si="0">YEAR(DATE(YEAR(A3),MONTH(A3)-3,1))</f>
        <v>2022</v>
      </c>
      <c r="C3" s="28">
        <f t="shared" ref="C3:C66" si="1">CHOOSE(MONTH(A3),4,4,4,1,1,1,2,2,2,3,3,3)</f>
        <v>4</v>
      </c>
      <c r="D3" s="29" t="str">
        <f t="shared" ref="D3:D66" si="2">"Qtr "&amp;CHOOSE(MONTH(A3),4,4,4,1,1,1,2,2,2,3,3,3)</f>
        <v>Qtr 4</v>
      </c>
      <c r="E3" s="29" t="str">
        <f t="shared" ref="E3:E66" si="3">YEAR(DATE(YEAR(A3),MONTH(A3)-3,1))&amp;"-"&amp;YEAR(DATE(YEAR(A3),MONTH(A3)+9,1))</f>
        <v>2022-2023</v>
      </c>
      <c r="F3" s="29">
        <f t="shared" ref="F3:F66" si="4">YEAR(A3)+(MONTH(A3)&gt;=4)</f>
        <v>2023</v>
      </c>
      <c r="G3" s="29" t="str">
        <f t="shared" ref="G3:G66" si="5">"Qtr"&amp;ROUNDUP(MONTH(A3)/3,0)&amp;" "&amp;YEAR(A3)</f>
        <v>Qtr1 2023</v>
      </c>
      <c r="H3" s="29" t="s">
        <v>86</v>
      </c>
      <c r="I3" s="29" t="str">
        <f>LEFT(H3,3)&amp;IF(MID(H3,4,1)="1",4,MID(H3,4,1)-1)</f>
        <v>Qtr4</v>
      </c>
    </row>
    <row r="4" spans="1:9" x14ac:dyDescent="0.25">
      <c r="A4" s="26">
        <v>45004</v>
      </c>
      <c r="B4" s="27">
        <f t="shared" si="0"/>
        <v>2022</v>
      </c>
      <c r="C4" s="28">
        <f t="shared" si="1"/>
        <v>4</v>
      </c>
      <c r="D4" s="29" t="str">
        <f t="shared" si="2"/>
        <v>Qtr 4</v>
      </c>
      <c r="E4" s="29" t="str">
        <f t="shared" si="3"/>
        <v>2022-2023</v>
      </c>
      <c r="F4" s="29">
        <f t="shared" si="4"/>
        <v>2023</v>
      </c>
      <c r="G4" s="29" t="str">
        <f t="shared" si="5"/>
        <v>Qtr1 2023</v>
      </c>
      <c r="H4" s="29" t="s">
        <v>86</v>
      </c>
      <c r="I4" s="29" t="str">
        <f t="shared" ref="I4:I67" si="6">LEFT(H4,3)&amp;IF(MID(H4,4,1)="1",4,MID(H4,4,1)-1)</f>
        <v>Qtr4</v>
      </c>
    </row>
    <row r="5" spans="1:9" x14ac:dyDescent="0.25">
      <c r="A5" s="26">
        <v>44974</v>
      </c>
      <c r="B5" s="27">
        <f t="shared" si="0"/>
        <v>2022</v>
      </c>
      <c r="C5" s="28">
        <f t="shared" si="1"/>
        <v>4</v>
      </c>
      <c r="D5" s="29" t="str">
        <f t="shared" si="2"/>
        <v>Qtr 4</v>
      </c>
      <c r="E5" s="29" t="str">
        <f t="shared" si="3"/>
        <v>2022-2023</v>
      </c>
      <c r="F5" s="29">
        <f t="shared" si="4"/>
        <v>2023</v>
      </c>
      <c r="G5" s="29" t="str">
        <f t="shared" si="5"/>
        <v>Qtr1 2023</v>
      </c>
      <c r="H5" s="29" t="s">
        <v>87</v>
      </c>
      <c r="I5" s="29" t="str">
        <f t="shared" si="6"/>
        <v>Qtr1</v>
      </c>
    </row>
    <row r="6" spans="1:9" x14ac:dyDescent="0.25">
      <c r="A6" s="26">
        <v>45033</v>
      </c>
      <c r="B6" s="27">
        <f t="shared" si="0"/>
        <v>2023</v>
      </c>
      <c r="C6" s="28">
        <f t="shared" si="1"/>
        <v>1</v>
      </c>
      <c r="D6" s="29" t="str">
        <f t="shared" si="2"/>
        <v>Qtr 1</v>
      </c>
      <c r="E6" s="29" t="str">
        <f t="shared" si="3"/>
        <v>2023-2024</v>
      </c>
      <c r="F6" s="29">
        <f t="shared" si="4"/>
        <v>2024</v>
      </c>
      <c r="G6" s="29" t="str">
        <f t="shared" si="5"/>
        <v>Qtr2 2023</v>
      </c>
      <c r="H6" s="29" t="s">
        <v>87</v>
      </c>
      <c r="I6" s="29" t="str">
        <f t="shared" si="6"/>
        <v>Qtr1</v>
      </c>
    </row>
    <row r="7" spans="1:9" x14ac:dyDescent="0.25">
      <c r="A7" s="26">
        <v>42946</v>
      </c>
      <c r="B7" s="27">
        <f t="shared" si="0"/>
        <v>2017</v>
      </c>
      <c r="C7" s="28">
        <f t="shared" si="1"/>
        <v>2</v>
      </c>
      <c r="D7" s="29" t="str">
        <f t="shared" si="2"/>
        <v>Qtr 2</v>
      </c>
      <c r="E7" s="29" t="str">
        <f t="shared" si="3"/>
        <v>2017-2018</v>
      </c>
      <c r="F7" s="29">
        <f t="shared" si="4"/>
        <v>2018</v>
      </c>
      <c r="G7" s="29" t="str">
        <f t="shared" si="5"/>
        <v>Qtr3 2017</v>
      </c>
      <c r="H7" s="29" t="s">
        <v>87</v>
      </c>
      <c r="I7" s="29" t="str">
        <f t="shared" si="6"/>
        <v>Qtr1</v>
      </c>
    </row>
    <row r="8" spans="1:9" x14ac:dyDescent="0.25">
      <c r="A8" s="26">
        <v>42980</v>
      </c>
      <c r="B8" s="27">
        <f t="shared" si="0"/>
        <v>2017</v>
      </c>
      <c r="C8" s="28">
        <f t="shared" si="1"/>
        <v>2</v>
      </c>
      <c r="D8" s="29" t="str">
        <f t="shared" si="2"/>
        <v>Qtr 2</v>
      </c>
      <c r="E8" s="29" t="str">
        <f t="shared" si="3"/>
        <v>2017-2018</v>
      </c>
      <c r="F8" s="29">
        <f t="shared" si="4"/>
        <v>2018</v>
      </c>
      <c r="G8" s="29" t="str">
        <f t="shared" si="5"/>
        <v>Qtr3 2017</v>
      </c>
      <c r="H8" s="29" t="s">
        <v>88</v>
      </c>
      <c r="I8" s="29" t="str">
        <f t="shared" si="6"/>
        <v>Qtr2</v>
      </c>
    </row>
    <row r="9" spans="1:9" x14ac:dyDescent="0.25">
      <c r="A9" s="26">
        <v>42796</v>
      </c>
      <c r="B9" s="27">
        <f t="shared" si="0"/>
        <v>2016</v>
      </c>
      <c r="C9" s="28">
        <f t="shared" si="1"/>
        <v>4</v>
      </c>
      <c r="D9" s="29" t="str">
        <f t="shared" si="2"/>
        <v>Qtr 4</v>
      </c>
      <c r="E9" s="29" t="str">
        <f t="shared" si="3"/>
        <v>2016-2017</v>
      </c>
      <c r="F9" s="29">
        <f t="shared" si="4"/>
        <v>2017</v>
      </c>
      <c r="G9" s="29" t="str">
        <f t="shared" si="5"/>
        <v>Qtr1 2017</v>
      </c>
      <c r="H9" s="29" t="s">
        <v>88</v>
      </c>
      <c r="I9" s="29" t="str">
        <f t="shared" si="6"/>
        <v>Qtr2</v>
      </c>
    </row>
    <row r="10" spans="1:9" x14ac:dyDescent="0.25">
      <c r="A10" s="26">
        <v>42952</v>
      </c>
      <c r="B10" s="27">
        <f t="shared" si="0"/>
        <v>2017</v>
      </c>
      <c r="C10" s="28">
        <f t="shared" si="1"/>
        <v>2</v>
      </c>
      <c r="D10" s="29" t="str">
        <f t="shared" si="2"/>
        <v>Qtr 2</v>
      </c>
      <c r="E10" s="29" t="str">
        <f t="shared" si="3"/>
        <v>2017-2018</v>
      </c>
      <c r="F10" s="29">
        <f t="shared" si="4"/>
        <v>2018</v>
      </c>
      <c r="G10" s="29" t="str">
        <f t="shared" si="5"/>
        <v>Qtr3 2017</v>
      </c>
      <c r="H10" s="29" t="s">
        <v>88</v>
      </c>
      <c r="I10" s="29" t="str">
        <f t="shared" si="6"/>
        <v>Qtr2</v>
      </c>
    </row>
    <row r="11" spans="1:9" x14ac:dyDescent="0.25">
      <c r="A11" s="26">
        <v>42390</v>
      </c>
      <c r="B11" s="27">
        <f t="shared" si="0"/>
        <v>2015</v>
      </c>
      <c r="C11" s="28">
        <f t="shared" si="1"/>
        <v>4</v>
      </c>
      <c r="D11" s="29" t="str">
        <f t="shared" si="2"/>
        <v>Qtr 4</v>
      </c>
      <c r="E11" s="29" t="str">
        <f t="shared" si="3"/>
        <v>2015-2016</v>
      </c>
      <c r="F11" s="29">
        <f t="shared" si="4"/>
        <v>2016</v>
      </c>
      <c r="G11" s="29" t="str">
        <f t="shared" si="5"/>
        <v>Qtr1 2016</v>
      </c>
      <c r="H11" s="29" t="s">
        <v>89</v>
      </c>
      <c r="I11" s="29" t="str">
        <f t="shared" si="6"/>
        <v>Qtr3</v>
      </c>
    </row>
    <row r="12" spans="1:9" x14ac:dyDescent="0.25">
      <c r="A12" s="26">
        <v>42561</v>
      </c>
      <c r="B12" s="27">
        <f t="shared" si="0"/>
        <v>2016</v>
      </c>
      <c r="C12" s="28">
        <f t="shared" si="1"/>
        <v>2</v>
      </c>
      <c r="D12" s="29" t="str">
        <f t="shared" si="2"/>
        <v>Qtr 2</v>
      </c>
      <c r="E12" s="29" t="str">
        <f t="shared" si="3"/>
        <v>2016-2017</v>
      </c>
      <c r="F12" s="29">
        <f t="shared" si="4"/>
        <v>2017</v>
      </c>
      <c r="G12" s="29" t="str">
        <f t="shared" si="5"/>
        <v>Qtr3 2016</v>
      </c>
      <c r="H12" s="29" t="s">
        <v>89</v>
      </c>
      <c r="I12" s="29" t="str">
        <f t="shared" si="6"/>
        <v>Qtr3</v>
      </c>
    </row>
    <row r="13" spans="1:9" x14ac:dyDescent="0.25">
      <c r="A13" s="26">
        <v>42669</v>
      </c>
      <c r="B13" s="27">
        <f t="shared" si="0"/>
        <v>2016</v>
      </c>
      <c r="C13" s="28">
        <f t="shared" si="1"/>
        <v>3</v>
      </c>
      <c r="D13" s="29" t="str">
        <f t="shared" si="2"/>
        <v>Qtr 3</v>
      </c>
      <c r="E13" s="29" t="str">
        <f t="shared" si="3"/>
        <v>2016-2017</v>
      </c>
      <c r="F13" s="29">
        <f t="shared" si="4"/>
        <v>2017</v>
      </c>
      <c r="G13" s="29" t="str">
        <f t="shared" si="5"/>
        <v>Qtr4 2016</v>
      </c>
      <c r="H13" s="29" t="s">
        <v>89</v>
      </c>
      <c r="I13" s="29" t="str">
        <f t="shared" si="6"/>
        <v>Qtr3</v>
      </c>
    </row>
    <row r="14" spans="1:9" x14ac:dyDescent="0.25">
      <c r="A14" s="26">
        <v>42586</v>
      </c>
      <c r="B14" s="27">
        <f t="shared" si="0"/>
        <v>2016</v>
      </c>
      <c r="C14" s="28">
        <f t="shared" si="1"/>
        <v>2</v>
      </c>
      <c r="D14" s="29" t="str">
        <f t="shared" si="2"/>
        <v>Qtr 2</v>
      </c>
      <c r="E14" s="29" t="str">
        <f t="shared" si="3"/>
        <v>2016-2017</v>
      </c>
      <c r="F14" s="29">
        <f t="shared" si="4"/>
        <v>2017</v>
      </c>
      <c r="G14" s="29" t="str">
        <f t="shared" si="5"/>
        <v>Qtr3 2016</v>
      </c>
      <c r="H14" s="29" t="s">
        <v>90</v>
      </c>
      <c r="I14" s="29" t="str">
        <f t="shared" si="6"/>
        <v>Qtr4</v>
      </c>
    </row>
    <row r="15" spans="1:9" x14ac:dyDescent="0.25">
      <c r="A15" s="26">
        <v>42385</v>
      </c>
      <c r="B15" s="27">
        <f t="shared" si="0"/>
        <v>2015</v>
      </c>
      <c r="C15" s="28">
        <f t="shared" si="1"/>
        <v>4</v>
      </c>
      <c r="D15" s="29" t="str">
        <f t="shared" si="2"/>
        <v>Qtr 4</v>
      </c>
      <c r="E15" s="29" t="str">
        <f t="shared" si="3"/>
        <v>2015-2016</v>
      </c>
      <c r="F15" s="29">
        <f t="shared" si="4"/>
        <v>2016</v>
      </c>
      <c r="G15" s="29" t="str">
        <f t="shared" si="5"/>
        <v>Qtr1 2016</v>
      </c>
      <c r="H15" s="29" t="s">
        <v>90</v>
      </c>
      <c r="I15" s="29" t="str">
        <f t="shared" si="6"/>
        <v>Qtr4</v>
      </c>
    </row>
    <row r="16" spans="1:9" x14ac:dyDescent="0.25">
      <c r="A16" s="26">
        <v>42392</v>
      </c>
      <c r="B16" s="27">
        <f t="shared" si="0"/>
        <v>2015</v>
      </c>
      <c r="C16" s="28">
        <f t="shared" si="1"/>
        <v>4</v>
      </c>
      <c r="D16" s="29" t="str">
        <f t="shared" si="2"/>
        <v>Qtr 4</v>
      </c>
      <c r="E16" s="29" t="str">
        <f t="shared" si="3"/>
        <v>2015-2016</v>
      </c>
      <c r="F16" s="29">
        <f t="shared" si="4"/>
        <v>2016</v>
      </c>
      <c r="G16" s="29" t="str">
        <f t="shared" si="5"/>
        <v>Qtr1 2016</v>
      </c>
      <c r="H16" s="29" t="s">
        <v>90</v>
      </c>
      <c r="I16" s="29" t="str">
        <f t="shared" si="6"/>
        <v>Qtr4</v>
      </c>
    </row>
    <row r="17" spans="1:9" x14ac:dyDescent="0.25">
      <c r="A17" s="26">
        <v>42377</v>
      </c>
      <c r="B17" s="27">
        <f t="shared" si="0"/>
        <v>2015</v>
      </c>
      <c r="C17" s="28">
        <f t="shared" si="1"/>
        <v>4</v>
      </c>
      <c r="D17" s="29" t="str">
        <f t="shared" si="2"/>
        <v>Qtr 4</v>
      </c>
      <c r="E17" s="29" t="str">
        <f t="shared" si="3"/>
        <v>2015-2016</v>
      </c>
      <c r="F17" s="29">
        <f t="shared" si="4"/>
        <v>2016</v>
      </c>
      <c r="G17" s="29" t="str">
        <f t="shared" si="5"/>
        <v>Qtr1 2016</v>
      </c>
      <c r="H17" s="29" t="s">
        <v>91</v>
      </c>
      <c r="I17" s="29" t="str">
        <f t="shared" si="6"/>
        <v>Qtr1</v>
      </c>
    </row>
    <row r="18" spans="1:9" x14ac:dyDescent="0.25">
      <c r="A18" s="26">
        <v>42694</v>
      </c>
      <c r="B18" s="27">
        <f t="shared" si="0"/>
        <v>2016</v>
      </c>
      <c r="C18" s="28">
        <f t="shared" si="1"/>
        <v>3</v>
      </c>
      <c r="D18" s="29" t="str">
        <f t="shared" si="2"/>
        <v>Qtr 3</v>
      </c>
      <c r="E18" s="29" t="str">
        <f t="shared" si="3"/>
        <v>2016-2017</v>
      </c>
      <c r="F18" s="29">
        <f t="shared" si="4"/>
        <v>2017</v>
      </c>
      <c r="G18" s="29" t="str">
        <f t="shared" si="5"/>
        <v>Qtr4 2016</v>
      </c>
      <c r="H18" s="29" t="s">
        <v>91</v>
      </c>
      <c r="I18" s="29" t="str">
        <f t="shared" si="6"/>
        <v>Qtr1</v>
      </c>
    </row>
    <row r="19" spans="1:9" x14ac:dyDescent="0.25">
      <c r="A19" s="26">
        <v>42608</v>
      </c>
      <c r="B19" s="27">
        <f t="shared" si="0"/>
        <v>2016</v>
      </c>
      <c r="C19" s="28">
        <f t="shared" si="1"/>
        <v>2</v>
      </c>
      <c r="D19" s="29" t="str">
        <f t="shared" si="2"/>
        <v>Qtr 2</v>
      </c>
      <c r="E19" s="29" t="str">
        <f t="shared" si="3"/>
        <v>2016-2017</v>
      </c>
      <c r="F19" s="29">
        <f t="shared" si="4"/>
        <v>2017</v>
      </c>
      <c r="G19" s="29" t="str">
        <f t="shared" si="5"/>
        <v>Qtr3 2016</v>
      </c>
      <c r="H19" s="29" t="s">
        <v>91</v>
      </c>
      <c r="I19" s="29" t="str">
        <f t="shared" si="6"/>
        <v>Qtr1</v>
      </c>
    </row>
    <row r="20" spans="1:9" x14ac:dyDescent="0.25">
      <c r="A20" s="26">
        <v>42449</v>
      </c>
      <c r="B20" s="27">
        <f t="shared" si="0"/>
        <v>2015</v>
      </c>
      <c r="C20" s="28">
        <f t="shared" si="1"/>
        <v>4</v>
      </c>
      <c r="D20" s="29" t="str">
        <f t="shared" si="2"/>
        <v>Qtr 4</v>
      </c>
      <c r="E20" s="29" t="str">
        <f t="shared" si="3"/>
        <v>2015-2016</v>
      </c>
      <c r="F20" s="29">
        <f t="shared" si="4"/>
        <v>2016</v>
      </c>
      <c r="G20" s="29" t="str">
        <f t="shared" si="5"/>
        <v>Qtr1 2016</v>
      </c>
      <c r="H20" s="29" t="s">
        <v>92</v>
      </c>
      <c r="I20" s="29" t="str">
        <f t="shared" si="6"/>
        <v>Qtr2</v>
      </c>
    </row>
    <row r="21" spans="1:9" x14ac:dyDescent="0.25">
      <c r="A21" s="26">
        <v>42391</v>
      </c>
      <c r="B21" s="27">
        <f t="shared" si="0"/>
        <v>2015</v>
      </c>
      <c r="C21" s="28">
        <f t="shared" si="1"/>
        <v>4</v>
      </c>
      <c r="D21" s="29" t="str">
        <f t="shared" si="2"/>
        <v>Qtr 4</v>
      </c>
      <c r="E21" s="29" t="str">
        <f t="shared" si="3"/>
        <v>2015-2016</v>
      </c>
      <c r="F21" s="29">
        <f t="shared" si="4"/>
        <v>2016</v>
      </c>
      <c r="G21" s="29" t="str">
        <f t="shared" si="5"/>
        <v>Qtr1 2016</v>
      </c>
      <c r="H21" s="29" t="s">
        <v>92</v>
      </c>
      <c r="I21" s="29" t="str">
        <f t="shared" si="6"/>
        <v>Qtr2</v>
      </c>
    </row>
    <row r="22" spans="1:9" x14ac:dyDescent="0.25">
      <c r="A22" s="26">
        <v>42402</v>
      </c>
      <c r="B22" s="27">
        <f t="shared" si="0"/>
        <v>2015</v>
      </c>
      <c r="C22" s="28">
        <f t="shared" si="1"/>
        <v>4</v>
      </c>
      <c r="D22" s="29" t="str">
        <f t="shared" si="2"/>
        <v>Qtr 4</v>
      </c>
      <c r="E22" s="29" t="str">
        <f t="shared" si="3"/>
        <v>2015-2016</v>
      </c>
      <c r="F22" s="29">
        <f t="shared" si="4"/>
        <v>2016</v>
      </c>
      <c r="G22" s="29" t="str">
        <f t="shared" si="5"/>
        <v>Qtr1 2016</v>
      </c>
      <c r="H22" s="29" t="s">
        <v>92</v>
      </c>
      <c r="I22" s="29" t="str">
        <f t="shared" si="6"/>
        <v>Qtr2</v>
      </c>
    </row>
    <row r="23" spans="1:9" x14ac:dyDescent="0.25">
      <c r="A23" s="26">
        <v>42496</v>
      </c>
      <c r="B23" s="27">
        <f t="shared" si="0"/>
        <v>2016</v>
      </c>
      <c r="C23" s="28">
        <f t="shared" si="1"/>
        <v>1</v>
      </c>
      <c r="D23" s="29" t="str">
        <f t="shared" si="2"/>
        <v>Qtr 1</v>
      </c>
      <c r="E23" s="29" t="str">
        <f t="shared" si="3"/>
        <v>2016-2017</v>
      </c>
      <c r="F23" s="29">
        <f t="shared" si="4"/>
        <v>2017</v>
      </c>
      <c r="G23" s="29" t="str">
        <f t="shared" si="5"/>
        <v>Qtr2 2016</v>
      </c>
      <c r="H23" s="29" t="s">
        <v>93</v>
      </c>
      <c r="I23" s="29" t="str">
        <f t="shared" si="6"/>
        <v>Qtr3</v>
      </c>
    </row>
    <row r="24" spans="1:9" x14ac:dyDescent="0.25">
      <c r="A24" s="26">
        <v>42723</v>
      </c>
      <c r="B24" s="27">
        <f t="shared" si="0"/>
        <v>2016</v>
      </c>
      <c r="C24" s="28">
        <f t="shared" si="1"/>
        <v>3</v>
      </c>
      <c r="D24" s="29" t="str">
        <f t="shared" si="2"/>
        <v>Qtr 3</v>
      </c>
      <c r="E24" s="29" t="str">
        <f t="shared" si="3"/>
        <v>2016-2017</v>
      </c>
      <c r="F24" s="29">
        <f t="shared" si="4"/>
        <v>2017</v>
      </c>
      <c r="G24" s="29" t="str">
        <f t="shared" si="5"/>
        <v>Qtr4 2016</v>
      </c>
      <c r="H24" s="29" t="s">
        <v>93</v>
      </c>
      <c r="I24" s="29" t="str">
        <f t="shared" si="6"/>
        <v>Qtr3</v>
      </c>
    </row>
    <row r="25" spans="1:9" x14ac:dyDescent="0.25">
      <c r="A25" s="26">
        <v>42127</v>
      </c>
      <c r="B25" s="27">
        <f t="shared" si="0"/>
        <v>2015</v>
      </c>
      <c r="C25" s="28">
        <f t="shared" si="1"/>
        <v>1</v>
      </c>
      <c r="D25" s="29" t="str">
        <f t="shared" si="2"/>
        <v>Qtr 1</v>
      </c>
      <c r="E25" s="29" t="str">
        <f t="shared" si="3"/>
        <v>2015-2016</v>
      </c>
      <c r="F25" s="29">
        <f t="shared" si="4"/>
        <v>2016</v>
      </c>
      <c r="G25" s="29" t="str">
        <f t="shared" si="5"/>
        <v>Qtr2 2015</v>
      </c>
      <c r="H25" s="29" t="s">
        <v>93</v>
      </c>
      <c r="I25" s="29" t="str">
        <f t="shared" si="6"/>
        <v>Qtr3</v>
      </c>
    </row>
    <row r="26" spans="1:9" x14ac:dyDescent="0.25">
      <c r="A26" s="26">
        <v>42021</v>
      </c>
      <c r="B26" s="27">
        <f t="shared" si="0"/>
        <v>2014</v>
      </c>
      <c r="C26" s="28">
        <f t="shared" si="1"/>
        <v>4</v>
      </c>
      <c r="D26" s="29" t="str">
        <f t="shared" si="2"/>
        <v>Qtr 4</v>
      </c>
      <c r="E26" s="29" t="str">
        <f t="shared" si="3"/>
        <v>2014-2015</v>
      </c>
      <c r="F26" s="29">
        <f t="shared" si="4"/>
        <v>2015</v>
      </c>
      <c r="G26" s="29" t="str">
        <f t="shared" si="5"/>
        <v>Qtr1 2015</v>
      </c>
      <c r="H26" s="29" t="s">
        <v>94</v>
      </c>
      <c r="I26" s="29" t="str">
        <f t="shared" si="6"/>
        <v>Qtr4</v>
      </c>
    </row>
    <row r="27" spans="1:9" x14ac:dyDescent="0.25">
      <c r="A27" s="26">
        <v>42318</v>
      </c>
      <c r="B27" s="27">
        <f t="shared" si="0"/>
        <v>2015</v>
      </c>
      <c r="C27" s="28">
        <f t="shared" si="1"/>
        <v>3</v>
      </c>
      <c r="D27" s="29" t="str">
        <f t="shared" si="2"/>
        <v>Qtr 3</v>
      </c>
      <c r="E27" s="29" t="str">
        <f t="shared" si="3"/>
        <v>2015-2016</v>
      </c>
      <c r="F27" s="29">
        <f t="shared" si="4"/>
        <v>2016</v>
      </c>
      <c r="G27" s="29" t="str">
        <f t="shared" si="5"/>
        <v>Qtr4 2015</v>
      </c>
      <c r="H27" s="29" t="s">
        <v>94</v>
      </c>
      <c r="I27" s="29" t="str">
        <f t="shared" si="6"/>
        <v>Qtr4</v>
      </c>
    </row>
    <row r="28" spans="1:9" x14ac:dyDescent="0.25">
      <c r="A28" s="26">
        <v>42005</v>
      </c>
      <c r="B28" s="27">
        <f t="shared" si="0"/>
        <v>2014</v>
      </c>
      <c r="C28" s="28">
        <f t="shared" si="1"/>
        <v>4</v>
      </c>
      <c r="D28" s="29" t="str">
        <f t="shared" si="2"/>
        <v>Qtr 4</v>
      </c>
      <c r="E28" s="29" t="str">
        <f t="shared" si="3"/>
        <v>2014-2015</v>
      </c>
      <c r="F28" s="29">
        <f t="shared" si="4"/>
        <v>2015</v>
      </c>
      <c r="G28" s="29" t="str">
        <f t="shared" si="5"/>
        <v>Qtr1 2015</v>
      </c>
      <c r="H28" s="29" t="s">
        <v>94</v>
      </c>
      <c r="I28" s="29" t="str">
        <f t="shared" si="6"/>
        <v>Qtr4</v>
      </c>
    </row>
    <row r="29" spans="1:9" x14ac:dyDescent="0.25">
      <c r="A29" s="26">
        <v>42137</v>
      </c>
      <c r="B29" s="27">
        <f t="shared" si="0"/>
        <v>2015</v>
      </c>
      <c r="C29" s="28">
        <f t="shared" si="1"/>
        <v>1</v>
      </c>
      <c r="D29" s="29" t="str">
        <f t="shared" si="2"/>
        <v>Qtr 1</v>
      </c>
      <c r="E29" s="29" t="str">
        <f t="shared" si="3"/>
        <v>2015-2016</v>
      </c>
      <c r="F29" s="29">
        <f t="shared" si="4"/>
        <v>2016</v>
      </c>
      <c r="G29" s="29" t="str">
        <f t="shared" si="5"/>
        <v>Qtr2 2015</v>
      </c>
      <c r="H29" s="29" t="s">
        <v>95</v>
      </c>
      <c r="I29" s="29" t="str">
        <f t="shared" si="6"/>
        <v>Qtr1</v>
      </c>
    </row>
    <row r="30" spans="1:9" x14ac:dyDescent="0.25">
      <c r="A30" s="26">
        <v>42222</v>
      </c>
      <c r="B30" s="27">
        <f t="shared" si="0"/>
        <v>2015</v>
      </c>
      <c r="C30" s="28">
        <f t="shared" si="1"/>
        <v>2</v>
      </c>
      <c r="D30" s="29" t="str">
        <f t="shared" si="2"/>
        <v>Qtr 2</v>
      </c>
      <c r="E30" s="29" t="str">
        <f t="shared" si="3"/>
        <v>2015-2016</v>
      </c>
      <c r="F30" s="29">
        <f t="shared" si="4"/>
        <v>2016</v>
      </c>
      <c r="G30" s="29" t="str">
        <f t="shared" si="5"/>
        <v>Qtr3 2015</v>
      </c>
      <c r="H30" s="29" t="s">
        <v>95</v>
      </c>
      <c r="I30" s="29" t="str">
        <f t="shared" si="6"/>
        <v>Qtr1</v>
      </c>
    </row>
    <row r="31" spans="1:9" x14ac:dyDescent="0.25">
      <c r="A31" s="26">
        <v>42282</v>
      </c>
      <c r="B31" s="27">
        <f t="shared" si="0"/>
        <v>2015</v>
      </c>
      <c r="C31" s="28">
        <f t="shared" si="1"/>
        <v>3</v>
      </c>
      <c r="D31" s="29" t="str">
        <f t="shared" si="2"/>
        <v>Qtr 3</v>
      </c>
      <c r="E31" s="29" t="str">
        <f t="shared" si="3"/>
        <v>2015-2016</v>
      </c>
      <c r="F31" s="29">
        <f t="shared" si="4"/>
        <v>2016</v>
      </c>
      <c r="G31" s="29" t="str">
        <f t="shared" si="5"/>
        <v>Qtr4 2015</v>
      </c>
      <c r="H31" s="29" t="s">
        <v>95</v>
      </c>
      <c r="I31" s="29" t="str">
        <f t="shared" si="6"/>
        <v>Qtr1</v>
      </c>
    </row>
    <row r="32" spans="1:9" x14ac:dyDescent="0.25">
      <c r="A32" s="26">
        <v>42017</v>
      </c>
      <c r="B32" s="27">
        <f t="shared" si="0"/>
        <v>2014</v>
      </c>
      <c r="C32" s="28">
        <f t="shared" si="1"/>
        <v>4</v>
      </c>
      <c r="D32" s="29" t="str">
        <f t="shared" si="2"/>
        <v>Qtr 4</v>
      </c>
      <c r="E32" s="29" t="str">
        <f t="shared" si="3"/>
        <v>2014-2015</v>
      </c>
      <c r="F32" s="29">
        <f t="shared" si="4"/>
        <v>2015</v>
      </c>
      <c r="G32" s="29" t="str">
        <f t="shared" si="5"/>
        <v>Qtr1 2015</v>
      </c>
      <c r="H32" s="29" t="s">
        <v>96</v>
      </c>
      <c r="I32" s="29" t="str">
        <f t="shared" si="6"/>
        <v>Qtr2</v>
      </c>
    </row>
    <row r="33" spans="1:9" x14ac:dyDescent="0.25">
      <c r="A33" s="26">
        <v>42217</v>
      </c>
      <c r="B33" s="27">
        <f t="shared" si="0"/>
        <v>2015</v>
      </c>
      <c r="C33" s="28">
        <f t="shared" si="1"/>
        <v>2</v>
      </c>
      <c r="D33" s="29" t="str">
        <f t="shared" si="2"/>
        <v>Qtr 2</v>
      </c>
      <c r="E33" s="29" t="str">
        <f t="shared" si="3"/>
        <v>2015-2016</v>
      </c>
      <c r="F33" s="29">
        <f t="shared" si="4"/>
        <v>2016</v>
      </c>
      <c r="G33" s="29" t="str">
        <f t="shared" si="5"/>
        <v>Qtr3 2015</v>
      </c>
      <c r="H33" s="29" t="s">
        <v>96</v>
      </c>
      <c r="I33" s="29" t="str">
        <f t="shared" si="6"/>
        <v>Qtr2</v>
      </c>
    </row>
    <row r="34" spans="1:9" x14ac:dyDescent="0.25">
      <c r="A34" s="26">
        <v>42211</v>
      </c>
      <c r="B34" s="27">
        <f t="shared" si="0"/>
        <v>2015</v>
      </c>
      <c r="C34" s="28">
        <f t="shared" si="1"/>
        <v>2</v>
      </c>
      <c r="D34" s="29" t="str">
        <f t="shared" si="2"/>
        <v>Qtr 2</v>
      </c>
      <c r="E34" s="29" t="str">
        <f t="shared" si="3"/>
        <v>2015-2016</v>
      </c>
      <c r="F34" s="29">
        <f t="shared" si="4"/>
        <v>2016</v>
      </c>
      <c r="G34" s="29" t="str">
        <f t="shared" si="5"/>
        <v>Qtr3 2015</v>
      </c>
      <c r="H34" s="29" t="s">
        <v>96</v>
      </c>
      <c r="I34" s="29" t="str">
        <f t="shared" si="6"/>
        <v>Qtr2</v>
      </c>
    </row>
    <row r="35" spans="1:9" x14ac:dyDescent="0.25">
      <c r="A35" s="26">
        <v>42144</v>
      </c>
      <c r="B35" s="27">
        <f t="shared" si="0"/>
        <v>2015</v>
      </c>
      <c r="C35" s="28">
        <f t="shared" si="1"/>
        <v>1</v>
      </c>
      <c r="D35" s="29" t="str">
        <f t="shared" si="2"/>
        <v>Qtr 1</v>
      </c>
      <c r="E35" s="29" t="str">
        <f t="shared" si="3"/>
        <v>2015-2016</v>
      </c>
      <c r="F35" s="29">
        <f t="shared" si="4"/>
        <v>2016</v>
      </c>
      <c r="G35" s="29" t="str">
        <f t="shared" si="5"/>
        <v>Qtr2 2015</v>
      </c>
      <c r="H35" s="29" t="s">
        <v>97</v>
      </c>
      <c r="I35" s="29" t="str">
        <f t="shared" si="6"/>
        <v>Qtr3</v>
      </c>
    </row>
    <row r="36" spans="1:9" x14ac:dyDescent="0.25">
      <c r="A36" s="26">
        <v>42341</v>
      </c>
      <c r="B36" s="27">
        <f t="shared" si="0"/>
        <v>2015</v>
      </c>
      <c r="C36" s="28">
        <f t="shared" si="1"/>
        <v>3</v>
      </c>
      <c r="D36" s="29" t="str">
        <f t="shared" si="2"/>
        <v>Qtr 3</v>
      </c>
      <c r="E36" s="29" t="str">
        <f t="shared" si="3"/>
        <v>2015-2016</v>
      </c>
      <c r="F36" s="29">
        <f t="shared" si="4"/>
        <v>2016</v>
      </c>
      <c r="G36" s="29" t="str">
        <f t="shared" si="5"/>
        <v>Qtr4 2015</v>
      </c>
      <c r="H36" s="29" t="s">
        <v>97</v>
      </c>
      <c r="I36" s="29" t="str">
        <f t="shared" si="6"/>
        <v>Qtr3</v>
      </c>
    </row>
    <row r="37" spans="1:9" x14ac:dyDescent="0.25">
      <c r="A37" s="26">
        <v>42246</v>
      </c>
      <c r="B37" s="27">
        <f t="shared" si="0"/>
        <v>2015</v>
      </c>
      <c r="C37" s="28">
        <f t="shared" si="1"/>
        <v>2</v>
      </c>
      <c r="D37" s="29" t="str">
        <f t="shared" si="2"/>
        <v>Qtr 2</v>
      </c>
      <c r="E37" s="29" t="str">
        <f t="shared" si="3"/>
        <v>2015-2016</v>
      </c>
      <c r="F37" s="29">
        <f t="shared" si="4"/>
        <v>2016</v>
      </c>
      <c r="G37" s="29" t="str">
        <f t="shared" si="5"/>
        <v>Qtr3 2015</v>
      </c>
      <c r="H37" s="29" t="s">
        <v>97</v>
      </c>
      <c r="I37" s="29" t="str">
        <f t="shared" si="6"/>
        <v>Qtr3</v>
      </c>
    </row>
    <row r="38" spans="1:9" x14ac:dyDescent="0.25">
      <c r="A38" s="26">
        <v>42115</v>
      </c>
      <c r="B38" s="27">
        <f t="shared" si="0"/>
        <v>2015</v>
      </c>
      <c r="C38" s="28">
        <f t="shared" si="1"/>
        <v>1</v>
      </c>
      <c r="D38" s="29" t="str">
        <f t="shared" si="2"/>
        <v>Qtr 1</v>
      </c>
      <c r="E38" s="29" t="str">
        <f t="shared" si="3"/>
        <v>2015-2016</v>
      </c>
      <c r="F38" s="29">
        <f t="shared" si="4"/>
        <v>2016</v>
      </c>
      <c r="G38" s="29" t="str">
        <f t="shared" si="5"/>
        <v>Qtr2 2015</v>
      </c>
      <c r="H38" s="29" t="s">
        <v>98</v>
      </c>
      <c r="I38" s="29" t="str">
        <f t="shared" si="6"/>
        <v>Qtr4</v>
      </c>
    </row>
    <row r="39" spans="1:9" x14ac:dyDescent="0.25">
      <c r="A39" s="26">
        <v>42105</v>
      </c>
      <c r="B39" s="27">
        <f t="shared" si="0"/>
        <v>2015</v>
      </c>
      <c r="C39" s="28">
        <f t="shared" si="1"/>
        <v>1</v>
      </c>
      <c r="D39" s="29" t="str">
        <f t="shared" si="2"/>
        <v>Qtr 1</v>
      </c>
      <c r="E39" s="29" t="str">
        <f t="shared" si="3"/>
        <v>2015-2016</v>
      </c>
      <c r="F39" s="29">
        <f t="shared" si="4"/>
        <v>2016</v>
      </c>
      <c r="G39" s="29" t="str">
        <f t="shared" si="5"/>
        <v>Qtr2 2015</v>
      </c>
      <c r="H39" s="29" t="s">
        <v>98</v>
      </c>
      <c r="I39" s="29" t="str">
        <f t="shared" si="6"/>
        <v>Qtr4</v>
      </c>
    </row>
    <row r="40" spans="1:9" x14ac:dyDescent="0.25">
      <c r="A40" s="26">
        <v>42179</v>
      </c>
      <c r="B40" s="27">
        <f t="shared" si="0"/>
        <v>2015</v>
      </c>
      <c r="C40" s="28">
        <f t="shared" si="1"/>
        <v>1</v>
      </c>
      <c r="D40" s="29" t="str">
        <f t="shared" si="2"/>
        <v>Qtr 1</v>
      </c>
      <c r="E40" s="29" t="str">
        <f t="shared" si="3"/>
        <v>2015-2016</v>
      </c>
      <c r="F40" s="29">
        <f t="shared" si="4"/>
        <v>2016</v>
      </c>
      <c r="G40" s="29" t="str">
        <f t="shared" si="5"/>
        <v>Qtr2 2015</v>
      </c>
      <c r="H40" s="29" t="s">
        <v>98</v>
      </c>
      <c r="I40" s="29" t="str">
        <f t="shared" si="6"/>
        <v>Qtr4</v>
      </c>
    </row>
    <row r="41" spans="1:9" x14ac:dyDescent="0.25">
      <c r="A41" s="26">
        <v>42029</v>
      </c>
      <c r="B41" s="27">
        <f t="shared" si="0"/>
        <v>2014</v>
      </c>
      <c r="C41" s="28">
        <f t="shared" si="1"/>
        <v>4</v>
      </c>
      <c r="D41" s="29" t="str">
        <f t="shared" si="2"/>
        <v>Qtr 4</v>
      </c>
      <c r="E41" s="29" t="str">
        <f t="shared" si="3"/>
        <v>2014-2015</v>
      </c>
      <c r="F41" s="29">
        <f t="shared" si="4"/>
        <v>2015</v>
      </c>
      <c r="G41" s="29" t="str">
        <f t="shared" si="5"/>
        <v>Qtr1 2015</v>
      </c>
      <c r="H41" s="29" t="s">
        <v>99</v>
      </c>
      <c r="I41" s="29" t="str">
        <f t="shared" si="6"/>
        <v>Qtr1</v>
      </c>
    </row>
    <row r="42" spans="1:9" x14ac:dyDescent="0.25">
      <c r="A42" s="26">
        <v>42238</v>
      </c>
      <c r="B42" s="27">
        <f t="shared" si="0"/>
        <v>2015</v>
      </c>
      <c r="C42" s="28">
        <f t="shared" si="1"/>
        <v>2</v>
      </c>
      <c r="D42" s="29" t="str">
        <f t="shared" si="2"/>
        <v>Qtr 2</v>
      </c>
      <c r="E42" s="29" t="str">
        <f t="shared" si="3"/>
        <v>2015-2016</v>
      </c>
      <c r="F42" s="29">
        <f t="shared" si="4"/>
        <v>2016</v>
      </c>
      <c r="G42" s="29" t="str">
        <f t="shared" si="5"/>
        <v>Qtr3 2015</v>
      </c>
      <c r="H42" s="29" t="s">
        <v>99</v>
      </c>
      <c r="I42" s="29" t="str">
        <f t="shared" si="6"/>
        <v>Qtr1</v>
      </c>
    </row>
    <row r="43" spans="1:9" x14ac:dyDescent="0.25">
      <c r="A43" s="26">
        <v>42298</v>
      </c>
      <c r="B43" s="27">
        <f t="shared" si="0"/>
        <v>2015</v>
      </c>
      <c r="C43" s="28">
        <f t="shared" si="1"/>
        <v>3</v>
      </c>
      <c r="D43" s="29" t="str">
        <f t="shared" si="2"/>
        <v>Qtr 3</v>
      </c>
      <c r="E43" s="29" t="str">
        <f t="shared" si="3"/>
        <v>2015-2016</v>
      </c>
      <c r="F43" s="29">
        <f t="shared" si="4"/>
        <v>2016</v>
      </c>
      <c r="G43" s="29" t="str">
        <f t="shared" si="5"/>
        <v>Qtr4 2015</v>
      </c>
      <c r="H43" s="29" t="s">
        <v>99</v>
      </c>
      <c r="I43" s="29" t="str">
        <f t="shared" si="6"/>
        <v>Qtr1</v>
      </c>
    </row>
    <row r="44" spans="1:9" x14ac:dyDescent="0.25">
      <c r="A44" s="26">
        <v>42222</v>
      </c>
      <c r="B44" s="27">
        <f t="shared" si="0"/>
        <v>2015</v>
      </c>
      <c r="C44" s="28">
        <f t="shared" si="1"/>
        <v>2</v>
      </c>
      <c r="D44" s="29" t="str">
        <f t="shared" si="2"/>
        <v>Qtr 2</v>
      </c>
      <c r="E44" s="29" t="str">
        <f t="shared" si="3"/>
        <v>2015-2016</v>
      </c>
      <c r="F44" s="29">
        <f t="shared" si="4"/>
        <v>2016</v>
      </c>
      <c r="G44" s="29" t="str">
        <f t="shared" si="5"/>
        <v>Qtr3 2015</v>
      </c>
      <c r="H44" s="29" t="s">
        <v>100</v>
      </c>
      <c r="I44" s="29" t="str">
        <f t="shared" si="6"/>
        <v>Qtr2</v>
      </c>
    </row>
    <row r="45" spans="1:9" x14ac:dyDescent="0.25">
      <c r="A45" s="26">
        <v>42357</v>
      </c>
      <c r="B45" s="27">
        <f t="shared" si="0"/>
        <v>2015</v>
      </c>
      <c r="C45" s="28">
        <f t="shared" si="1"/>
        <v>3</v>
      </c>
      <c r="D45" s="29" t="str">
        <f t="shared" si="2"/>
        <v>Qtr 3</v>
      </c>
      <c r="E45" s="29" t="str">
        <f t="shared" si="3"/>
        <v>2015-2016</v>
      </c>
      <c r="F45" s="29">
        <f t="shared" si="4"/>
        <v>2016</v>
      </c>
      <c r="G45" s="29" t="str">
        <f t="shared" si="5"/>
        <v>Qtr4 2015</v>
      </c>
      <c r="H45" s="29" t="s">
        <v>100</v>
      </c>
      <c r="I45" s="29" t="str">
        <f t="shared" si="6"/>
        <v>Qtr2</v>
      </c>
    </row>
    <row r="46" spans="1:9" x14ac:dyDescent="0.25">
      <c r="A46" s="26">
        <v>42142</v>
      </c>
      <c r="B46" s="27">
        <f t="shared" si="0"/>
        <v>2015</v>
      </c>
      <c r="C46" s="28">
        <f t="shared" si="1"/>
        <v>1</v>
      </c>
      <c r="D46" s="29" t="str">
        <f t="shared" si="2"/>
        <v>Qtr 1</v>
      </c>
      <c r="E46" s="29" t="str">
        <f t="shared" si="3"/>
        <v>2015-2016</v>
      </c>
      <c r="F46" s="29">
        <f t="shared" si="4"/>
        <v>2016</v>
      </c>
      <c r="G46" s="29" t="str">
        <f t="shared" si="5"/>
        <v>Qtr2 2015</v>
      </c>
      <c r="H46" s="29" t="s">
        <v>100</v>
      </c>
      <c r="I46" s="29" t="str">
        <f t="shared" si="6"/>
        <v>Qtr2</v>
      </c>
    </row>
    <row r="47" spans="1:9" x14ac:dyDescent="0.25">
      <c r="A47" s="26">
        <v>42045</v>
      </c>
      <c r="B47" s="27">
        <f t="shared" si="0"/>
        <v>2014</v>
      </c>
      <c r="C47" s="28">
        <f t="shared" si="1"/>
        <v>4</v>
      </c>
      <c r="D47" s="29" t="str">
        <f t="shared" si="2"/>
        <v>Qtr 4</v>
      </c>
      <c r="E47" s="29" t="str">
        <f t="shared" si="3"/>
        <v>2014-2015</v>
      </c>
      <c r="F47" s="29">
        <f t="shared" si="4"/>
        <v>2015</v>
      </c>
      <c r="G47" s="29" t="str">
        <f t="shared" si="5"/>
        <v>Qtr1 2015</v>
      </c>
      <c r="H47" s="29" t="s">
        <v>101</v>
      </c>
      <c r="I47" s="29" t="str">
        <f t="shared" si="6"/>
        <v>Qtr3</v>
      </c>
    </row>
    <row r="48" spans="1:9" x14ac:dyDescent="0.25">
      <c r="A48" s="26">
        <v>42225</v>
      </c>
      <c r="B48" s="27">
        <f t="shared" si="0"/>
        <v>2015</v>
      </c>
      <c r="C48" s="28">
        <f t="shared" si="1"/>
        <v>2</v>
      </c>
      <c r="D48" s="29" t="str">
        <f t="shared" si="2"/>
        <v>Qtr 2</v>
      </c>
      <c r="E48" s="29" t="str">
        <f t="shared" si="3"/>
        <v>2015-2016</v>
      </c>
      <c r="F48" s="29">
        <f t="shared" si="4"/>
        <v>2016</v>
      </c>
      <c r="G48" s="29" t="str">
        <f t="shared" si="5"/>
        <v>Qtr3 2015</v>
      </c>
      <c r="H48" s="29" t="s">
        <v>101</v>
      </c>
      <c r="I48" s="29" t="str">
        <f t="shared" si="6"/>
        <v>Qtr3</v>
      </c>
    </row>
    <row r="49" spans="1:9" x14ac:dyDescent="0.25">
      <c r="A49" s="26">
        <v>42231</v>
      </c>
      <c r="B49" s="27">
        <f t="shared" si="0"/>
        <v>2015</v>
      </c>
      <c r="C49" s="28">
        <f t="shared" si="1"/>
        <v>2</v>
      </c>
      <c r="D49" s="29" t="str">
        <f t="shared" si="2"/>
        <v>Qtr 2</v>
      </c>
      <c r="E49" s="29" t="str">
        <f t="shared" si="3"/>
        <v>2015-2016</v>
      </c>
      <c r="F49" s="29">
        <f t="shared" si="4"/>
        <v>2016</v>
      </c>
      <c r="G49" s="29" t="str">
        <f t="shared" si="5"/>
        <v>Qtr3 2015</v>
      </c>
      <c r="H49" s="29" t="s">
        <v>101</v>
      </c>
      <c r="I49" s="29" t="str">
        <f t="shared" si="6"/>
        <v>Qtr3</v>
      </c>
    </row>
    <row r="50" spans="1:9" x14ac:dyDescent="0.25">
      <c r="A50" s="26">
        <v>42283</v>
      </c>
      <c r="B50" s="27">
        <f t="shared" si="0"/>
        <v>2015</v>
      </c>
      <c r="C50" s="28">
        <f t="shared" si="1"/>
        <v>3</v>
      </c>
      <c r="D50" s="29" t="str">
        <f t="shared" si="2"/>
        <v>Qtr 3</v>
      </c>
      <c r="E50" s="29" t="str">
        <f t="shared" si="3"/>
        <v>2015-2016</v>
      </c>
      <c r="F50" s="29">
        <f t="shared" si="4"/>
        <v>2016</v>
      </c>
      <c r="G50" s="29" t="str">
        <f t="shared" si="5"/>
        <v>Qtr4 2015</v>
      </c>
      <c r="H50" s="29" t="s">
        <v>102</v>
      </c>
      <c r="I50" s="29" t="str">
        <f t="shared" si="6"/>
        <v>Qtr4</v>
      </c>
    </row>
    <row r="51" spans="1:9" x14ac:dyDescent="0.25">
      <c r="A51" s="26">
        <v>42218</v>
      </c>
      <c r="B51" s="27">
        <f t="shared" si="0"/>
        <v>2015</v>
      </c>
      <c r="C51" s="28">
        <f t="shared" si="1"/>
        <v>2</v>
      </c>
      <c r="D51" s="29" t="str">
        <f t="shared" si="2"/>
        <v>Qtr 2</v>
      </c>
      <c r="E51" s="29" t="str">
        <f t="shared" si="3"/>
        <v>2015-2016</v>
      </c>
      <c r="F51" s="29">
        <f t="shared" si="4"/>
        <v>2016</v>
      </c>
      <c r="G51" s="29" t="str">
        <f t="shared" si="5"/>
        <v>Qtr3 2015</v>
      </c>
      <c r="H51" s="29" t="s">
        <v>102</v>
      </c>
      <c r="I51" s="29" t="str">
        <f t="shared" si="6"/>
        <v>Qtr4</v>
      </c>
    </row>
    <row r="52" spans="1:9" x14ac:dyDescent="0.25">
      <c r="A52" s="26">
        <v>42143</v>
      </c>
      <c r="B52" s="27">
        <f t="shared" si="0"/>
        <v>2015</v>
      </c>
      <c r="C52" s="28">
        <f t="shared" si="1"/>
        <v>1</v>
      </c>
      <c r="D52" s="29" t="str">
        <f t="shared" si="2"/>
        <v>Qtr 1</v>
      </c>
      <c r="E52" s="29" t="str">
        <f t="shared" si="3"/>
        <v>2015-2016</v>
      </c>
      <c r="F52" s="29">
        <f t="shared" si="4"/>
        <v>2016</v>
      </c>
      <c r="G52" s="29" t="str">
        <f t="shared" si="5"/>
        <v>Qtr2 2015</v>
      </c>
      <c r="H52" s="29" t="s">
        <v>102</v>
      </c>
      <c r="I52" s="29" t="str">
        <f t="shared" si="6"/>
        <v>Qtr4</v>
      </c>
    </row>
    <row r="53" spans="1:9" x14ac:dyDescent="0.25">
      <c r="A53" s="26">
        <v>42283</v>
      </c>
      <c r="B53" s="27">
        <f t="shared" si="0"/>
        <v>2015</v>
      </c>
      <c r="C53" s="28">
        <f t="shared" si="1"/>
        <v>3</v>
      </c>
      <c r="D53" s="29" t="str">
        <f t="shared" si="2"/>
        <v>Qtr 3</v>
      </c>
      <c r="E53" s="29" t="str">
        <f t="shared" si="3"/>
        <v>2015-2016</v>
      </c>
      <c r="F53" s="29">
        <f t="shared" si="4"/>
        <v>2016</v>
      </c>
      <c r="G53" s="29" t="str">
        <f t="shared" si="5"/>
        <v>Qtr4 2015</v>
      </c>
      <c r="H53" s="29" t="s">
        <v>103</v>
      </c>
      <c r="I53" s="29" t="str">
        <f t="shared" si="6"/>
        <v>Qtr1</v>
      </c>
    </row>
    <row r="54" spans="1:9" x14ac:dyDescent="0.25">
      <c r="A54" s="26">
        <v>42039</v>
      </c>
      <c r="B54" s="27">
        <f t="shared" si="0"/>
        <v>2014</v>
      </c>
      <c r="C54" s="28">
        <f t="shared" si="1"/>
        <v>4</v>
      </c>
      <c r="D54" s="29" t="str">
        <f t="shared" si="2"/>
        <v>Qtr 4</v>
      </c>
      <c r="E54" s="29" t="str">
        <f t="shared" si="3"/>
        <v>2014-2015</v>
      </c>
      <c r="F54" s="29">
        <f t="shared" si="4"/>
        <v>2015</v>
      </c>
      <c r="G54" s="29" t="str">
        <f t="shared" si="5"/>
        <v>Qtr1 2015</v>
      </c>
      <c r="H54" s="29" t="s">
        <v>103</v>
      </c>
      <c r="I54" s="29" t="str">
        <f t="shared" si="6"/>
        <v>Qtr1</v>
      </c>
    </row>
    <row r="55" spans="1:9" x14ac:dyDescent="0.25">
      <c r="A55" s="26">
        <v>42146</v>
      </c>
      <c r="B55" s="27">
        <f t="shared" si="0"/>
        <v>2015</v>
      </c>
      <c r="C55" s="28">
        <f t="shared" si="1"/>
        <v>1</v>
      </c>
      <c r="D55" s="29" t="str">
        <f t="shared" si="2"/>
        <v>Qtr 1</v>
      </c>
      <c r="E55" s="29" t="str">
        <f t="shared" si="3"/>
        <v>2015-2016</v>
      </c>
      <c r="F55" s="29">
        <f t="shared" si="4"/>
        <v>2016</v>
      </c>
      <c r="G55" s="29" t="str">
        <f t="shared" si="5"/>
        <v>Qtr2 2015</v>
      </c>
      <c r="H55" s="29" t="s">
        <v>103</v>
      </c>
      <c r="I55" s="29" t="str">
        <f t="shared" si="6"/>
        <v>Qtr1</v>
      </c>
    </row>
    <row r="56" spans="1:9" x14ac:dyDescent="0.25">
      <c r="A56" s="26">
        <v>42206</v>
      </c>
      <c r="B56" s="27">
        <f t="shared" si="0"/>
        <v>2015</v>
      </c>
      <c r="C56" s="28">
        <f t="shared" si="1"/>
        <v>2</v>
      </c>
      <c r="D56" s="29" t="str">
        <f t="shared" si="2"/>
        <v>Qtr 2</v>
      </c>
      <c r="E56" s="29" t="str">
        <f t="shared" si="3"/>
        <v>2015-2016</v>
      </c>
      <c r="F56" s="29">
        <f t="shared" si="4"/>
        <v>2016</v>
      </c>
      <c r="G56" s="29" t="str">
        <f t="shared" si="5"/>
        <v>Qtr3 2015</v>
      </c>
      <c r="H56" s="29" t="s">
        <v>104</v>
      </c>
      <c r="I56" s="29" t="str">
        <f t="shared" si="6"/>
        <v>Qtr2</v>
      </c>
    </row>
    <row r="57" spans="1:9" x14ac:dyDescent="0.25">
      <c r="A57" s="26">
        <v>42155</v>
      </c>
      <c r="B57" s="27">
        <f t="shared" si="0"/>
        <v>2015</v>
      </c>
      <c r="C57" s="28">
        <f t="shared" si="1"/>
        <v>1</v>
      </c>
      <c r="D57" s="29" t="str">
        <f t="shared" si="2"/>
        <v>Qtr 1</v>
      </c>
      <c r="E57" s="29" t="str">
        <f t="shared" si="3"/>
        <v>2015-2016</v>
      </c>
      <c r="F57" s="29">
        <f t="shared" si="4"/>
        <v>2016</v>
      </c>
      <c r="G57" s="29" t="str">
        <f t="shared" si="5"/>
        <v>Qtr2 2015</v>
      </c>
      <c r="H57" s="29" t="s">
        <v>104</v>
      </c>
      <c r="I57" s="29" t="str">
        <f t="shared" si="6"/>
        <v>Qtr2</v>
      </c>
    </row>
    <row r="58" spans="1:9" x14ac:dyDescent="0.25">
      <c r="A58" s="26">
        <v>42247</v>
      </c>
      <c r="B58" s="27">
        <f t="shared" si="0"/>
        <v>2015</v>
      </c>
      <c r="C58" s="28">
        <f t="shared" si="1"/>
        <v>2</v>
      </c>
      <c r="D58" s="29" t="str">
        <f t="shared" si="2"/>
        <v>Qtr 2</v>
      </c>
      <c r="E58" s="29" t="str">
        <f t="shared" si="3"/>
        <v>2015-2016</v>
      </c>
      <c r="F58" s="29">
        <f t="shared" si="4"/>
        <v>2016</v>
      </c>
      <c r="G58" s="29" t="str">
        <f t="shared" si="5"/>
        <v>Qtr3 2015</v>
      </c>
      <c r="H58" s="29" t="s">
        <v>104</v>
      </c>
      <c r="I58" s="29" t="str">
        <f t="shared" si="6"/>
        <v>Qtr2</v>
      </c>
    </row>
    <row r="59" spans="1:9" x14ac:dyDescent="0.25">
      <c r="A59" s="26">
        <v>42246</v>
      </c>
      <c r="B59" s="27">
        <f t="shared" si="0"/>
        <v>2015</v>
      </c>
      <c r="C59" s="28">
        <f t="shared" si="1"/>
        <v>2</v>
      </c>
      <c r="D59" s="29" t="str">
        <f t="shared" si="2"/>
        <v>Qtr 2</v>
      </c>
      <c r="E59" s="29" t="str">
        <f t="shared" si="3"/>
        <v>2015-2016</v>
      </c>
      <c r="F59" s="29">
        <f t="shared" si="4"/>
        <v>2016</v>
      </c>
      <c r="G59" s="29" t="str">
        <f t="shared" si="5"/>
        <v>Qtr3 2015</v>
      </c>
      <c r="H59" s="29" t="s">
        <v>105</v>
      </c>
      <c r="I59" s="29" t="str">
        <f t="shared" si="6"/>
        <v>Qtr3</v>
      </c>
    </row>
    <row r="60" spans="1:9" x14ac:dyDescent="0.25">
      <c r="A60" s="26">
        <v>42131</v>
      </c>
      <c r="B60" s="27">
        <f t="shared" si="0"/>
        <v>2015</v>
      </c>
      <c r="C60" s="28">
        <f t="shared" si="1"/>
        <v>1</v>
      </c>
      <c r="D60" s="29" t="str">
        <f t="shared" si="2"/>
        <v>Qtr 1</v>
      </c>
      <c r="E60" s="29" t="str">
        <f t="shared" si="3"/>
        <v>2015-2016</v>
      </c>
      <c r="F60" s="29">
        <f t="shared" si="4"/>
        <v>2016</v>
      </c>
      <c r="G60" s="29" t="str">
        <f t="shared" si="5"/>
        <v>Qtr2 2015</v>
      </c>
      <c r="H60" s="29" t="s">
        <v>105</v>
      </c>
      <c r="I60" s="29" t="str">
        <f t="shared" si="6"/>
        <v>Qtr3</v>
      </c>
    </row>
    <row r="61" spans="1:9" x14ac:dyDescent="0.25">
      <c r="A61" s="26">
        <v>42183</v>
      </c>
      <c r="B61" s="27">
        <f t="shared" si="0"/>
        <v>2015</v>
      </c>
      <c r="C61" s="28">
        <f t="shared" si="1"/>
        <v>1</v>
      </c>
      <c r="D61" s="29" t="str">
        <f t="shared" si="2"/>
        <v>Qtr 1</v>
      </c>
      <c r="E61" s="29" t="str">
        <f t="shared" si="3"/>
        <v>2015-2016</v>
      </c>
      <c r="F61" s="29">
        <f t="shared" si="4"/>
        <v>2016</v>
      </c>
      <c r="G61" s="29" t="str">
        <f t="shared" si="5"/>
        <v>Qtr2 2015</v>
      </c>
      <c r="H61" s="29" t="s">
        <v>105</v>
      </c>
      <c r="I61" s="29" t="str">
        <f t="shared" si="6"/>
        <v>Qtr3</v>
      </c>
    </row>
    <row r="62" spans="1:9" x14ac:dyDescent="0.25">
      <c r="A62" s="26">
        <v>42358</v>
      </c>
      <c r="B62" s="27">
        <f t="shared" si="0"/>
        <v>2015</v>
      </c>
      <c r="C62" s="28">
        <f t="shared" si="1"/>
        <v>3</v>
      </c>
      <c r="D62" s="29" t="str">
        <f t="shared" si="2"/>
        <v>Qtr 3</v>
      </c>
      <c r="E62" s="29" t="str">
        <f t="shared" si="3"/>
        <v>2015-2016</v>
      </c>
      <c r="F62" s="29">
        <f t="shared" si="4"/>
        <v>2016</v>
      </c>
      <c r="G62" s="29" t="str">
        <f t="shared" si="5"/>
        <v>Qtr4 2015</v>
      </c>
      <c r="H62" s="29" t="s">
        <v>106</v>
      </c>
      <c r="I62" s="29" t="str">
        <f t="shared" si="6"/>
        <v>Qtr4</v>
      </c>
    </row>
    <row r="63" spans="1:9" x14ac:dyDescent="0.25">
      <c r="A63" s="26">
        <v>42335</v>
      </c>
      <c r="B63" s="27">
        <f t="shared" si="0"/>
        <v>2015</v>
      </c>
      <c r="C63" s="28">
        <f t="shared" si="1"/>
        <v>3</v>
      </c>
      <c r="D63" s="29" t="str">
        <f t="shared" si="2"/>
        <v>Qtr 3</v>
      </c>
      <c r="E63" s="29" t="str">
        <f t="shared" si="3"/>
        <v>2015-2016</v>
      </c>
      <c r="F63" s="29">
        <f t="shared" si="4"/>
        <v>2016</v>
      </c>
      <c r="G63" s="29" t="str">
        <f t="shared" si="5"/>
        <v>Qtr4 2015</v>
      </c>
      <c r="H63" s="29" t="s">
        <v>106</v>
      </c>
      <c r="I63" s="29" t="str">
        <f t="shared" si="6"/>
        <v>Qtr4</v>
      </c>
    </row>
    <row r="64" spans="1:9" x14ac:dyDescent="0.25">
      <c r="A64" s="26">
        <v>42231</v>
      </c>
      <c r="B64" s="27">
        <f t="shared" si="0"/>
        <v>2015</v>
      </c>
      <c r="C64" s="28">
        <f t="shared" si="1"/>
        <v>2</v>
      </c>
      <c r="D64" s="29" t="str">
        <f t="shared" si="2"/>
        <v>Qtr 2</v>
      </c>
      <c r="E64" s="29" t="str">
        <f t="shared" si="3"/>
        <v>2015-2016</v>
      </c>
      <c r="F64" s="29">
        <f t="shared" si="4"/>
        <v>2016</v>
      </c>
      <c r="G64" s="29" t="str">
        <f t="shared" si="5"/>
        <v>Qtr3 2015</v>
      </c>
      <c r="H64" s="29" t="s">
        <v>106</v>
      </c>
      <c r="I64" s="29" t="str">
        <f t="shared" si="6"/>
        <v>Qtr4</v>
      </c>
    </row>
    <row r="65" spans="1:9" x14ac:dyDescent="0.25">
      <c r="A65" s="26">
        <v>42332</v>
      </c>
      <c r="B65" s="27">
        <f t="shared" si="0"/>
        <v>2015</v>
      </c>
      <c r="C65" s="28">
        <f t="shared" si="1"/>
        <v>3</v>
      </c>
      <c r="D65" s="29" t="str">
        <f t="shared" si="2"/>
        <v>Qtr 3</v>
      </c>
      <c r="E65" s="29" t="str">
        <f t="shared" si="3"/>
        <v>2015-2016</v>
      </c>
      <c r="F65" s="29">
        <f t="shared" si="4"/>
        <v>2016</v>
      </c>
      <c r="G65" s="29" t="str">
        <f t="shared" si="5"/>
        <v>Qtr4 2015</v>
      </c>
      <c r="H65" s="29" t="s">
        <v>107</v>
      </c>
      <c r="I65" s="29" t="str">
        <f t="shared" si="6"/>
        <v>Qtr1</v>
      </c>
    </row>
    <row r="66" spans="1:9" x14ac:dyDescent="0.25">
      <c r="A66" s="26">
        <v>42064</v>
      </c>
      <c r="B66" s="27">
        <f t="shared" si="0"/>
        <v>2014</v>
      </c>
      <c r="C66" s="28">
        <f t="shared" si="1"/>
        <v>4</v>
      </c>
      <c r="D66" s="29" t="str">
        <f t="shared" si="2"/>
        <v>Qtr 4</v>
      </c>
      <c r="E66" s="29" t="str">
        <f t="shared" si="3"/>
        <v>2014-2015</v>
      </c>
      <c r="F66" s="29">
        <f t="shared" si="4"/>
        <v>2015</v>
      </c>
      <c r="G66" s="29" t="str">
        <f t="shared" si="5"/>
        <v>Qtr1 2015</v>
      </c>
      <c r="H66" s="29" t="s">
        <v>107</v>
      </c>
      <c r="I66" s="29" t="str">
        <f t="shared" si="6"/>
        <v>Qtr1</v>
      </c>
    </row>
    <row r="67" spans="1:9" x14ac:dyDescent="0.25">
      <c r="A67" s="26">
        <v>42365</v>
      </c>
      <c r="B67" s="27">
        <f t="shared" ref="B67:B130" si="7">YEAR(DATE(YEAR(A67),MONTH(A67)-3,1))</f>
        <v>2015</v>
      </c>
      <c r="C67" s="28">
        <f t="shared" ref="C67:C130" si="8">CHOOSE(MONTH(A67),4,4,4,1,1,1,2,2,2,3,3,3)</f>
        <v>3</v>
      </c>
      <c r="D67" s="29" t="str">
        <f t="shared" ref="D67:D130" si="9">"Qtr "&amp;CHOOSE(MONTH(A67),4,4,4,1,1,1,2,2,2,3,3,3)</f>
        <v>Qtr 3</v>
      </c>
      <c r="E67" s="29" t="str">
        <f t="shared" ref="E67:E130" si="10">YEAR(DATE(YEAR(A67),MONTH(A67)-3,1))&amp;"-"&amp;YEAR(DATE(YEAR(A67),MONTH(A67)+9,1))</f>
        <v>2015-2016</v>
      </c>
      <c r="F67" s="29">
        <f t="shared" ref="F67:F130" si="11">YEAR(A67)+(MONTH(A67)&gt;=4)</f>
        <v>2016</v>
      </c>
      <c r="G67" s="29" t="str">
        <f t="shared" ref="G67:G130" si="12">"Qtr"&amp;ROUNDUP(MONTH(A67)/3,0)&amp;" "&amp;YEAR(A67)</f>
        <v>Qtr4 2015</v>
      </c>
      <c r="H67" s="29" t="s">
        <v>107</v>
      </c>
      <c r="I67" s="29" t="str">
        <f t="shared" si="6"/>
        <v>Qtr1</v>
      </c>
    </row>
    <row r="68" spans="1:9" x14ac:dyDescent="0.25">
      <c r="A68" s="26">
        <v>42067</v>
      </c>
      <c r="B68" s="27">
        <f t="shared" si="7"/>
        <v>2014</v>
      </c>
      <c r="C68" s="28">
        <f t="shared" si="8"/>
        <v>4</v>
      </c>
      <c r="D68" s="29" t="str">
        <f t="shared" si="9"/>
        <v>Qtr 4</v>
      </c>
      <c r="E68" s="29" t="str">
        <f t="shared" si="10"/>
        <v>2014-2015</v>
      </c>
      <c r="F68" s="29">
        <f t="shared" si="11"/>
        <v>2015</v>
      </c>
      <c r="G68" s="29" t="str">
        <f t="shared" si="12"/>
        <v>Qtr1 2015</v>
      </c>
      <c r="H68" s="29" t="s">
        <v>108</v>
      </c>
      <c r="I68" s="29" t="str">
        <f t="shared" ref="I68:I131" si="13">LEFT(H68,3)&amp;IF(MID(H68,4,1)="1",4,MID(H68,4,1)-1)</f>
        <v>Qtr2</v>
      </c>
    </row>
    <row r="69" spans="1:9" x14ac:dyDescent="0.25">
      <c r="A69" s="26">
        <v>42101</v>
      </c>
      <c r="B69" s="27">
        <f t="shared" si="7"/>
        <v>2015</v>
      </c>
      <c r="C69" s="28">
        <f t="shared" si="8"/>
        <v>1</v>
      </c>
      <c r="D69" s="29" t="str">
        <f t="shared" si="9"/>
        <v>Qtr 1</v>
      </c>
      <c r="E69" s="29" t="str">
        <f t="shared" si="10"/>
        <v>2015-2016</v>
      </c>
      <c r="F69" s="29">
        <f t="shared" si="11"/>
        <v>2016</v>
      </c>
      <c r="G69" s="29" t="str">
        <f t="shared" si="12"/>
        <v>Qtr2 2015</v>
      </c>
      <c r="H69" s="29" t="s">
        <v>108</v>
      </c>
      <c r="I69" s="29" t="str">
        <f t="shared" si="13"/>
        <v>Qtr2</v>
      </c>
    </row>
    <row r="70" spans="1:9" x14ac:dyDescent="0.25">
      <c r="A70" s="26">
        <v>42335</v>
      </c>
      <c r="B70" s="27">
        <f t="shared" si="7"/>
        <v>2015</v>
      </c>
      <c r="C70" s="28">
        <f t="shared" si="8"/>
        <v>3</v>
      </c>
      <c r="D70" s="29" t="str">
        <f t="shared" si="9"/>
        <v>Qtr 3</v>
      </c>
      <c r="E70" s="29" t="str">
        <f t="shared" si="10"/>
        <v>2015-2016</v>
      </c>
      <c r="F70" s="29">
        <f t="shared" si="11"/>
        <v>2016</v>
      </c>
      <c r="G70" s="29" t="str">
        <f t="shared" si="12"/>
        <v>Qtr4 2015</v>
      </c>
      <c r="H70" s="29" t="s">
        <v>108</v>
      </c>
      <c r="I70" s="29" t="str">
        <f t="shared" si="13"/>
        <v>Qtr2</v>
      </c>
    </row>
    <row r="71" spans="1:9" x14ac:dyDescent="0.25">
      <c r="A71" s="26">
        <v>42092</v>
      </c>
      <c r="B71" s="27">
        <f t="shared" si="7"/>
        <v>2014</v>
      </c>
      <c r="C71" s="28">
        <f t="shared" si="8"/>
        <v>4</v>
      </c>
      <c r="D71" s="29" t="str">
        <f t="shared" si="9"/>
        <v>Qtr 4</v>
      </c>
      <c r="E71" s="29" t="str">
        <f t="shared" si="10"/>
        <v>2014-2015</v>
      </c>
      <c r="F71" s="29">
        <f t="shared" si="11"/>
        <v>2015</v>
      </c>
      <c r="G71" s="29" t="str">
        <f t="shared" si="12"/>
        <v>Qtr1 2015</v>
      </c>
      <c r="H71" s="29" t="s">
        <v>109</v>
      </c>
      <c r="I71" s="29" t="str">
        <f t="shared" si="13"/>
        <v>Qtr3</v>
      </c>
    </row>
    <row r="72" spans="1:9" x14ac:dyDescent="0.25">
      <c r="A72" s="26">
        <v>42281</v>
      </c>
      <c r="B72" s="27">
        <f t="shared" si="7"/>
        <v>2015</v>
      </c>
      <c r="C72" s="28">
        <f t="shared" si="8"/>
        <v>3</v>
      </c>
      <c r="D72" s="29" t="str">
        <f t="shared" si="9"/>
        <v>Qtr 3</v>
      </c>
      <c r="E72" s="29" t="str">
        <f t="shared" si="10"/>
        <v>2015-2016</v>
      </c>
      <c r="F72" s="29">
        <f t="shared" si="11"/>
        <v>2016</v>
      </c>
      <c r="G72" s="29" t="str">
        <f t="shared" si="12"/>
        <v>Qtr4 2015</v>
      </c>
      <c r="H72" s="29" t="s">
        <v>109</v>
      </c>
      <c r="I72" s="29" t="str">
        <f t="shared" si="13"/>
        <v>Qtr3</v>
      </c>
    </row>
    <row r="73" spans="1:9" x14ac:dyDescent="0.25">
      <c r="A73" s="26">
        <v>42040</v>
      </c>
      <c r="B73" s="27">
        <f t="shared" si="7"/>
        <v>2014</v>
      </c>
      <c r="C73" s="28">
        <f t="shared" si="8"/>
        <v>4</v>
      </c>
      <c r="D73" s="29" t="str">
        <f t="shared" si="9"/>
        <v>Qtr 4</v>
      </c>
      <c r="E73" s="29" t="str">
        <f t="shared" si="10"/>
        <v>2014-2015</v>
      </c>
      <c r="F73" s="29">
        <f t="shared" si="11"/>
        <v>2015</v>
      </c>
      <c r="G73" s="29" t="str">
        <f t="shared" si="12"/>
        <v>Qtr1 2015</v>
      </c>
      <c r="H73" s="29" t="s">
        <v>109</v>
      </c>
      <c r="I73" s="29" t="str">
        <f t="shared" si="13"/>
        <v>Qtr3</v>
      </c>
    </row>
    <row r="74" spans="1:9" x14ac:dyDescent="0.25">
      <c r="A74" s="26">
        <v>42160</v>
      </c>
      <c r="B74" s="27">
        <f t="shared" si="7"/>
        <v>2015</v>
      </c>
      <c r="C74" s="28">
        <f t="shared" si="8"/>
        <v>1</v>
      </c>
      <c r="D74" s="29" t="str">
        <f t="shared" si="9"/>
        <v>Qtr 1</v>
      </c>
      <c r="E74" s="29" t="str">
        <f t="shared" si="10"/>
        <v>2015-2016</v>
      </c>
      <c r="F74" s="29">
        <f t="shared" si="11"/>
        <v>2016</v>
      </c>
      <c r="G74" s="29" t="str">
        <f t="shared" si="12"/>
        <v>Qtr2 2015</v>
      </c>
      <c r="H74" s="29" t="s">
        <v>110</v>
      </c>
      <c r="I74" s="29" t="str">
        <f t="shared" si="13"/>
        <v>Qtr4</v>
      </c>
    </row>
    <row r="75" spans="1:9" x14ac:dyDescent="0.25">
      <c r="A75" s="26">
        <v>42339</v>
      </c>
      <c r="B75" s="27">
        <f t="shared" si="7"/>
        <v>2015</v>
      </c>
      <c r="C75" s="28">
        <f t="shared" si="8"/>
        <v>3</v>
      </c>
      <c r="D75" s="29" t="str">
        <f t="shared" si="9"/>
        <v>Qtr 3</v>
      </c>
      <c r="E75" s="29" t="str">
        <f t="shared" si="10"/>
        <v>2015-2016</v>
      </c>
      <c r="F75" s="29">
        <f t="shared" si="11"/>
        <v>2016</v>
      </c>
      <c r="G75" s="29" t="str">
        <f t="shared" si="12"/>
        <v>Qtr4 2015</v>
      </c>
      <c r="H75" s="29" t="s">
        <v>110</v>
      </c>
      <c r="I75" s="29" t="str">
        <f t="shared" si="13"/>
        <v>Qtr4</v>
      </c>
    </row>
    <row r="76" spans="1:9" x14ac:dyDescent="0.25">
      <c r="A76" s="26">
        <v>42093</v>
      </c>
      <c r="B76" s="27">
        <f t="shared" si="7"/>
        <v>2014</v>
      </c>
      <c r="C76" s="28">
        <f t="shared" si="8"/>
        <v>4</v>
      </c>
      <c r="D76" s="29" t="str">
        <f t="shared" si="9"/>
        <v>Qtr 4</v>
      </c>
      <c r="E76" s="29" t="str">
        <f t="shared" si="10"/>
        <v>2014-2015</v>
      </c>
      <c r="F76" s="29">
        <f t="shared" si="11"/>
        <v>2015</v>
      </c>
      <c r="G76" s="29" t="str">
        <f t="shared" si="12"/>
        <v>Qtr1 2015</v>
      </c>
      <c r="H76" s="29" t="s">
        <v>110</v>
      </c>
      <c r="I76" s="29" t="str">
        <f t="shared" si="13"/>
        <v>Qtr4</v>
      </c>
    </row>
    <row r="77" spans="1:9" x14ac:dyDescent="0.25">
      <c r="A77" s="26">
        <v>42146</v>
      </c>
      <c r="B77" s="27">
        <f t="shared" si="7"/>
        <v>2015</v>
      </c>
      <c r="C77" s="28">
        <f t="shared" si="8"/>
        <v>1</v>
      </c>
      <c r="D77" s="29" t="str">
        <f t="shared" si="9"/>
        <v>Qtr 1</v>
      </c>
      <c r="E77" s="29" t="str">
        <f t="shared" si="10"/>
        <v>2015-2016</v>
      </c>
      <c r="F77" s="29">
        <f t="shared" si="11"/>
        <v>2016</v>
      </c>
      <c r="G77" s="29" t="str">
        <f t="shared" si="12"/>
        <v>Qtr2 2015</v>
      </c>
      <c r="H77" s="29" t="s">
        <v>111</v>
      </c>
      <c r="I77" s="29" t="str">
        <f t="shared" si="13"/>
        <v>Qtr1</v>
      </c>
    </row>
    <row r="78" spans="1:9" x14ac:dyDescent="0.25">
      <c r="A78" s="26">
        <v>42059</v>
      </c>
      <c r="B78" s="27">
        <f t="shared" si="7"/>
        <v>2014</v>
      </c>
      <c r="C78" s="28">
        <f t="shared" si="8"/>
        <v>4</v>
      </c>
      <c r="D78" s="29" t="str">
        <f t="shared" si="9"/>
        <v>Qtr 4</v>
      </c>
      <c r="E78" s="29" t="str">
        <f t="shared" si="10"/>
        <v>2014-2015</v>
      </c>
      <c r="F78" s="29">
        <f t="shared" si="11"/>
        <v>2015</v>
      </c>
      <c r="G78" s="29" t="str">
        <f t="shared" si="12"/>
        <v>Qtr1 2015</v>
      </c>
      <c r="H78" s="29" t="s">
        <v>111</v>
      </c>
      <c r="I78" s="29" t="str">
        <f t="shared" si="13"/>
        <v>Qtr1</v>
      </c>
    </row>
    <row r="79" spans="1:9" x14ac:dyDescent="0.25">
      <c r="A79" s="26">
        <v>42289</v>
      </c>
      <c r="B79" s="27">
        <f t="shared" si="7"/>
        <v>2015</v>
      </c>
      <c r="C79" s="28">
        <f t="shared" si="8"/>
        <v>3</v>
      </c>
      <c r="D79" s="29" t="str">
        <f t="shared" si="9"/>
        <v>Qtr 3</v>
      </c>
      <c r="E79" s="29" t="str">
        <f t="shared" si="10"/>
        <v>2015-2016</v>
      </c>
      <c r="F79" s="29">
        <f t="shared" si="11"/>
        <v>2016</v>
      </c>
      <c r="G79" s="29" t="str">
        <f t="shared" si="12"/>
        <v>Qtr4 2015</v>
      </c>
      <c r="H79" s="29" t="s">
        <v>111</v>
      </c>
      <c r="I79" s="29" t="str">
        <f t="shared" si="13"/>
        <v>Qtr1</v>
      </c>
    </row>
    <row r="80" spans="1:9" x14ac:dyDescent="0.25">
      <c r="A80" s="26">
        <v>42095</v>
      </c>
      <c r="B80" s="27">
        <f t="shared" si="7"/>
        <v>2015</v>
      </c>
      <c r="C80" s="28">
        <f t="shared" si="8"/>
        <v>1</v>
      </c>
      <c r="D80" s="29" t="str">
        <f t="shared" si="9"/>
        <v>Qtr 1</v>
      </c>
      <c r="E80" s="29" t="str">
        <f t="shared" si="10"/>
        <v>2015-2016</v>
      </c>
      <c r="F80" s="29">
        <f t="shared" si="11"/>
        <v>2016</v>
      </c>
      <c r="G80" s="29" t="str">
        <f t="shared" si="12"/>
        <v>Qtr2 2015</v>
      </c>
      <c r="H80" s="29" t="s">
        <v>112</v>
      </c>
      <c r="I80" s="29" t="str">
        <f t="shared" si="13"/>
        <v>Qtr2</v>
      </c>
    </row>
    <row r="81" spans="1:9" x14ac:dyDescent="0.25">
      <c r="A81" s="26">
        <v>42115</v>
      </c>
      <c r="B81" s="27">
        <f t="shared" si="7"/>
        <v>2015</v>
      </c>
      <c r="C81" s="28">
        <f t="shared" si="8"/>
        <v>1</v>
      </c>
      <c r="D81" s="29" t="str">
        <f t="shared" si="9"/>
        <v>Qtr 1</v>
      </c>
      <c r="E81" s="29" t="str">
        <f t="shared" si="10"/>
        <v>2015-2016</v>
      </c>
      <c r="F81" s="29">
        <f t="shared" si="11"/>
        <v>2016</v>
      </c>
      <c r="G81" s="29" t="str">
        <f t="shared" si="12"/>
        <v>Qtr2 2015</v>
      </c>
      <c r="H81" s="29" t="s">
        <v>112</v>
      </c>
      <c r="I81" s="29" t="str">
        <f t="shared" si="13"/>
        <v>Qtr2</v>
      </c>
    </row>
    <row r="82" spans="1:9" x14ac:dyDescent="0.25">
      <c r="A82" s="26">
        <v>42335</v>
      </c>
      <c r="B82" s="27">
        <f t="shared" si="7"/>
        <v>2015</v>
      </c>
      <c r="C82" s="28">
        <f t="shared" si="8"/>
        <v>3</v>
      </c>
      <c r="D82" s="29" t="str">
        <f t="shared" si="9"/>
        <v>Qtr 3</v>
      </c>
      <c r="E82" s="29" t="str">
        <f t="shared" si="10"/>
        <v>2015-2016</v>
      </c>
      <c r="F82" s="29">
        <f t="shared" si="11"/>
        <v>2016</v>
      </c>
      <c r="G82" s="29" t="str">
        <f t="shared" si="12"/>
        <v>Qtr4 2015</v>
      </c>
      <c r="H82" s="29" t="s">
        <v>112</v>
      </c>
      <c r="I82" s="29" t="str">
        <f t="shared" si="13"/>
        <v>Qtr2</v>
      </c>
    </row>
    <row r="83" spans="1:9" x14ac:dyDescent="0.25">
      <c r="A83" s="26">
        <v>42295</v>
      </c>
      <c r="B83" s="27">
        <f t="shared" si="7"/>
        <v>2015</v>
      </c>
      <c r="C83" s="28">
        <f t="shared" si="8"/>
        <v>3</v>
      </c>
      <c r="D83" s="29" t="str">
        <f t="shared" si="9"/>
        <v>Qtr 3</v>
      </c>
      <c r="E83" s="29" t="str">
        <f t="shared" si="10"/>
        <v>2015-2016</v>
      </c>
      <c r="F83" s="29">
        <f t="shared" si="11"/>
        <v>2016</v>
      </c>
      <c r="G83" s="29" t="str">
        <f t="shared" si="12"/>
        <v>Qtr4 2015</v>
      </c>
      <c r="H83" s="29" t="s">
        <v>113</v>
      </c>
      <c r="I83" s="29" t="str">
        <f t="shared" si="13"/>
        <v>Qtr3</v>
      </c>
    </row>
    <row r="84" spans="1:9" x14ac:dyDescent="0.25">
      <c r="A84" s="26">
        <v>42012</v>
      </c>
      <c r="B84" s="27">
        <f t="shared" si="7"/>
        <v>2014</v>
      </c>
      <c r="C84" s="28">
        <f t="shared" si="8"/>
        <v>4</v>
      </c>
      <c r="D84" s="29" t="str">
        <f t="shared" si="9"/>
        <v>Qtr 4</v>
      </c>
      <c r="E84" s="29" t="str">
        <f t="shared" si="10"/>
        <v>2014-2015</v>
      </c>
      <c r="F84" s="29">
        <f t="shared" si="11"/>
        <v>2015</v>
      </c>
      <c r="G84" s="29" t="str">
        <f t="shared" si="12"/>
        <v>Qtr1 2015</v>
      </c>
      <c r="H84" s="29" t="s">
        <v>113</v>
      </c>
      <c r="I84" s="29" t="str">
        <f t="shared" si="13"/>
        <v>Qtr3</v>
      </c>
    </row>
    <row r="85" spans="1:9" x14ac:dyDescent="0.25">
      <c r="A85" s="26">
        <v>42364</v>
      </c>
      <c r="B85" s="27">
        <f t="shared" si="7"/>
        <v>2015</v>
      </c>
      <c r="C85" s="28">
        <f t="shared" si="8"/>
        <v>3</v>
      </c>
      <c r="D85" s="29" t="str">
        <f t="shared" si="9"/>
        <v>Qtr 3</v>
      </c>
      <c r="E85" s="29" t="str">
        <f t="shared" si="10"/>
        <v>2015-2016</v>
      </c>
      <c r="F85" s="29">
        <f t="shared" si="11"/>
        <v>2016</v>
      </c>
      <c r="G85" s="29" t="str">
        <f t="shared" si="12"/>
        <v>Qtr4 2015</v>
      </c>
      <c r="H85" s="29" t="s">
        <v>113</v>
      </c>
      <c r="I85" s="29" t="str">
        <f t="shared" si="13"/>
        <v>Qtr3</v>
      </c>
    </row>
    <row r="86" spans="1:9" x14ac:dyDescent="0.25">
      <c r="A86" s="26">
        <v>42065</v>
      </c>
      <c r="B86" s="27">
        <f t="shared" si="7"/>
        <v>2014</v>
      </c>
      <c r="C86" s="28">
        <f t="shared" si="8"/>
        <v>4</v>
      </c>
      <c r="D86" s="29" t="str">
        <f t="shared" si="9"/>
        <v>Qtr 4</v>
      </c>
      <c r="E86" s="29" t="str">
        <f t="shared" si="10"/>
        <v>2014-2015</v>
      </c>
      <c r="F86" s="29">
        <f t="shared" si="11"/>
        <v>2015</v>
      </c>
      <c r="G86" s="29" t="str">
        <f t="shared" si="12"/>
        <v>Qtr1 2015</v>
      </c>
      <c r="H86" s="29" t="s">
        <v>114</v>
      </c>
      <c r="I86" s="29" t="str">
        <f t="shared" si="13"/>
        <v>Qtr4</v>
      </c>
    </row>
    <row r="87" spans="1:9" x14ac:dyDescent="0.25">
      <c r="A87" s="26">
        <v>42117</v>
      </c>
      <c r="B87" s="27">
        <f t="shared" si="7"/>
        <v>2015</v>
      </c>
      <c r="C87" s="28">
        <f t="shared" si="8"/>
        <v>1</v>
      </c>
      <c r="D87" s="29" t="str">
        <f t="shared" si="9"/>
        <v>Qtr 1</v>
      </c>
      <c r="E87" s="29" t="str">
        <f t="shared" si="10"/>
        <v>2015-2016</v>
      </c>
      <c r="F87" s="29">
        <f t="shared" si="11"/>
        <v>2016</v>
      </c>
      <c r="G87" s="29" t="str">
        <f t="shared" si="12"/>
        <v>Qtr2 2015</v>
      </c>
      <c r="H87" s="29" t="s">
        <v>114</v>
      </c>
      <c r="I87" s="29" t="str">
        <f t="shared" si="13"/>
        <v>Qtr4</v>
      </c>
    </row>
    <row r="88" spans="1:9" x14ac:dyDescent="0.25">
      <c r="A88" s="26">
        <v>42288</v>
      </c>
      <c r="B88" s="27">
        <f t="shared" si="7"/>
        <v>2015</v>
      </c>
      <c r="C88" s="28">
        <f t="shared" si="8"/>
        <v>3</v>
      </c>
      <c r="D88" s="29" t="str">
        <f t="shared" si="9"/>
        <v>Qtr 3</v>
      </c>
      <c r="E88" s="29" t="str">
        <f t="shared" si="10"/>
        <v>2015-2016</v>
      </c>
      <c r="F88" s="29">
        <f t="shared" si="11"/>
        <v>2016</v>
      </c>
      <c r="G88" s="29" t="str">
        <f t="shared" si="12"/>
        <v>Qtr4 2015</v>
      </c>
      <c r="H88" s="29" t="s">
        <v>114</v>
      </c>
      <c r="I88" s="29" t="str">
        <f t="shared" si="13"/>
        <v>Qtr4</v>
      </c>
    </row>
    <row r="89" spans="1:9" x14ac:dyDescent="0.25">
      <c r="A89" s="26">
        <v>42265</v>
      </c>
      <c r="B89" s="27">
        <f t="shared" si="7"/>
        <v>2015</v>
      </c>
      <c r="C89" s="28">
        <f t="shared" si="8"/>
        <v>2</v>
      </c>
      <c r="D89" s="29" t="str">
        <f t="shared" si="9"/>
        <v>Qtr 2</v>
      </c>
      <c r="E89" s="29" t="str">
        <f t="shared" si="10"/>
        <v>2015-2016</v>
      </c>
      <c r="F89" s="29">
        <f t="shared" si="11"/>
        <v>2016</v>
      </c>
      <c r="G89" s="29" t="str">
        <f t="shared" si="12"/>
        <v>Qtr3 2015</v>
      </c>
      <c r="H89" s="29" t="s">
        <v>115</v>
      </c>
      <c r="I89" s="29" t="str">
        <f t="shared" si="13"/>
        <v>Qtr1</v>
      </c>
    </row>
    <row r="90" spans="1:9" x14ac:dyDescent="0.25">
      <c r="A90" s="26">
        <v>42265</v>
      </c>
      <c r="B90" s="27">
        <f t="shared" si="7"/>
        <v>2015</v>
      </c>
      <c r="C90" s="28">
        <f t="shared" si="8"/>
        <v>2</v>
      </c>
      <c r="D90" s="29" t="str">
        <f t="shared" si="9"/>
        <v>Qtr 2</v>
      </c>
      <c r="E90" s="29" t="str">
        <f t="shared" si="10"/>
        <v>2015-2016</v>
      </c>
      <c r="F90" s="29">
        <f t="shared" si="11"/>
        <v>2016</v>
      </c>
      <c r="G90" s="29" t="str">
        <f t="shared" si="12"/>
        <v>Qtr3 2015</v>
      </c>
      <c r="H90" s="29" t="s">
        <v>115</v>
      </c>
      <c r="I90" s="29" t="str">
        <f t="shared" si="13"/>
        <v>Qtr1</v>
      </c>
    </row>
    <row r="91" spans="1:9" x14ac:dyDescent="0.25">
      <c r="A91" s="26">
        <v>42298</v>
      </c>
      <c r="B91" s="27">
        <f t="shared" si="7"/>
        <v>2015</v>
      </c>
      <c r="C91" s="28">
        <f t="shared" si="8"/>
        <v>3</v>
      </c>
      <c r="D91" s="29" t="str">
        <f t="shared" si="9"/>
        <v>Qtr 3</v>
      </c>
      <c r="E91" s="29" t="str">
        <f t="shared" si="10"/>
        <v>2015-2016</v>
      </c>
      <c r="F91" s="29">
        <f t="shared" si="11"/>
        <v>2016</v>
      </c>
      <c r="G91" s="29" t="str">
        <f t="shared" si="12"/>
        <v>Qtr4 2015</v>
      </c>
      <c r="H91" s="29" t="s">
        <v>115</v>
      </c>
      <c r="I91" s="29" t="str">
        <f t="shared" si="13"/>
        <v>Qtr1</v>
      </c>
    </row>
    <row r="92" spans="1:9" x14ac:dyDescent="0.25">
      <c r="A92" s="26">
        <v>42102</v>
      </c>
      <c r="B92" s="27">
        <f t="shared" si="7"/>
        <v>2015</v>
      </c>
      <c r="C92" s="28">
        <f t="shared" si="8"/>
        <v>1</v>
      </c>
      <c r="D92" s="29" t="str">
        <f t="shared" si="9"/>
        <v>Qtr 1</v>
      </c>
      <c r="E92" s="29" t="str">
        <f t="shared" si="10"/>
        <v>2015-2016</v>
      </c>
      <c r="F92" s="29">
        <f t="shared" si="11"/>
        <v>2016</v>
      </c>
      <c r="G92" s="29" t="str">
        <f t="shared" si="12"/>
        <v>Qtr2 2015</v>
      </c>
      <c r="H92" s="29" t="s">
        <v>116</v>
      </c>
      <c r="I92" s="29" t="str">
        <f t="shared" si="13"/>
        <v>Qtr2</v>
      </c>
    </row>
    <row r="93" spans="1:9" x14ac:dyDescent="0.25">
      <c r="A93" s="26">
        <v>42096</v>
      </c>
      <c r="B93" s="27">
        <f t="shared" si="7"/>
        <v>2015</v>
      </c>
      <c r="C93" s="28">
        <f t="shared" si="8"/>
        <v>1</v>
      </c>
      <c r="D93" s="29" t="str">
        <f t="shared" si="9"/>
        <v>Qtr 1</v>
      </c>
      <c r="E93" s="29" t="str">
        <f t="shared" si="10"/>
        <v>2015-2016</v>
      </c>
      <c r="F93" s="29">
        <f t="shared" si="11"/>
        <v>2016</v>
      </c>
      <c r="G93" s="29" t="str">
        <f t="shared" si="12"/>
        <v>Qtr2 2015</v>
      </c>
      <c r="H93" s="29" t="s">
        <v>116</v>
      </c>
      <c r="I93" s="29" t="str">
        <f t="shared" si="13"/>
        <v>Qtr2</v>
      </c>
    </row>
    <row r="94" spans="1:9" x14ac:dyDescent="0.25">
      <c r="A94" s="26">
        <v>42021</v>
      </c>
      <c r="B94" s="27">
        <f t="shared" si="7"/>
        <v>2014</v>
      </c>
      <c r="C94" s="28">
        <f t="shared" si="8"/>
        <v>4</v>
      </c>
      <c r="D94" s="29" t="str">
        <f t="shared" si="9"/>
        <v>Qtr 4</v>
      </c>
      <c r="E94" s="29" t="str">
        <f t="shared" si="10"/>
        <v>2014-2015</v>
      </c>
      <c r="F94" s="29">
        <f t="shared" si="11"/>
        <v>2015</v>
      </c>
      <c r="G94" s="29" t="str">
        <f t="shared" si="12"/>
        <v>Qtr1 2015</v>
      </c>
      <c r="H94" s="29" t="s">
        <v>116</v>
      </c>
      <c r="I94" s="29" t="str">
        <f t="shared" si="13"/>
        <v>Qtr2</v>
      </c>
    </row>
    <row r="95" spans="1:9" x14ac:dyDescent="0.25">
      <c r="A95" s="26">
        <v>42029</v>
      </c>
      <c r="B95" s="27">
        <f t="shared" si="7"/>
        <v>2014</v>
      </c>
      <c r="C95" s="28">
        <f t="shared" si="8"/>
        <v>4</v>
      </c>
      <c r="D95" s="29" t="str">
        <f t="shared" si="9"/>
        <v>Qtr 4</v>
      </c>
      <c r="E95" s="29" t="str">
        <f t="shared" si="10"/>
        <v>2014-2015</v>
      </c>
      <c r="F95" s="29">
        <f t="shared" si="11"/>
        <v>2015</v>
      </c>
      <c r="G95" s="29" t="str">
        <f t="shared" si="12"/>
        <v>Qtr1 2015</v>
      </c>
      <c r="H95" s="29" t="s">
        <v>117</v>
      </c>
      <c r="I95" s="29" t="str">
        <f t="shared" si="13"/>
        <v>Qtr3</v>
      </c>
    </row>
    <row r="96" spans="1:9" x14ac:dyDescent="0.25">
      <c r="A96" s="26">
        <v>42181</v>
      </c>
      <c r="B96" s="27">
        <f t="shared" si="7"/>
        <v>2015</v>
      </c>
      <c r="C96" s="28">
        <f t="shared" si="8"/>
        <v>1</v>
      </c>
      <c r="D96" s="29" t="str">
        <f t="shared" si="9"/>
        <v>Qtr 1</v>
      </c>
      <c r="E96" s="29" t="str">
        <f t="shared" si="10"/>
        <v>2015-2016</v>
      </c>
      <c r="F96" s="29">
        <f t="shared" si="11"/>
        <v>2016</v>
      </c>
      <c r="G96" s="29" t="str">
        <f t="shared" si="12"/>
        <v>Qtr2 2015</v>
      </c>
      <c r="H96" s="29" t="s">
        <v>117</v>
      </c>
      <c r="I96" s="29" t="str">
        <f t="shared" si="13"/>
        <v>Qtr3</v>
      </c>
    </row>
    <row r="97" spans="1:9" x14ac:dyDescent="0.25">
      <c r="A97" s="26">
        <v>42100</v>
      </c>
      <c r="B97" s="27">
        <f t="shared" si="7"/>
        <v>2015</v>
      </c>
      <c r="C97" s="28">
        <f t="shared" si="8"/>
        <v>1</v>
      </c>
      <c r="D97" s="29" t="str">
        <f t="shared" si="9"/>
        <v>Qtr 1</v>
      </c>
      <c r="E97" s="29" t="str">
        <f t="shared" si="10"/>
        <v>2015-2016</v>
      </c>
      <c r="F97" s="29">
        <f t="shared" si="11"/>
        <v>2016</v>
      </c>
      <c r="G97" s="29" t="str">
        <f t="shared" si="12"/>
        <v>Qtr2 2015</v>
      </c>
      <c r="H97" s="29" t="s">
        <v>117</v>
      </c>
      <c r="I97" s="29" t="str">
        <f t="shared" si="13"/>
        <v>Qtr3</v>
      </c>
    </row>
    <row r="98" spans="1:9" x14ac:dyDescent="0.25">
      <c r="A98" s="26">
        <v>42231</v>
      </c>
      <c r="B98" s="27">
        <f t="shared" si="7"/>
        <v>2015</v>
      </c>
      <c r="C98" s="28">
        <f t="shared" si="8"/>
        <v>2</v>
      </c>
      <c r="D98" s="29" t="str">
        <f t="shared" si="9"/>
        <v>Qtr 2</v>
      </c>
      <c r="E98" s="29" t="str">
        <f t="shared" si="10"/>
        <v>2015-2016</v>
      </c>
      <c r="F98" s="29">
        <f t="shared" si="11"/>
        <v>2016</v>
      </c>
      <c r="G98" s="29" t="str">
        <f t="shared" si="12"/>
        <v>Qtr3 2015</v>
      </c>
      <c r="H98" s="29" t="s">
        <v>118</v>
      </c>
      <c r="I98" s="29" t="str">
        <f t="shared" si="13"/>
        <v>Qtr4</v>
      </c>
    </row>
    <row r="99" spans="1:9" x14ac:dyDescent="0.25">
      <c r="A99" s="26">
        <v>42206</v>
      </c>
      <c r="B99" s="27">
        <f t="shared" si="7"/>
        <v>2015</v>
      </c>
      <c r="C99" s="28">
        <f t="shared" si="8"/>
        <v>2</v>
      </c>
      <c r="D99" s="29" t="str">
        <f t="shared" si="9"/>
        <v>Qtr 2</v>
      </c>
      <c r="E99" s="29" t="str">
        <f t="shared" si="10"/>
        <v>2015-2016</v>
      </c>
      <c r="F99" s="29">
        <f t="shared" si="11"/>
        <v>2016</v>
      </c>
      <c r="G99" s="29" t="str">
        <f t="shared" si="12"/>
        <v>Qtr3 2015</v>
      </c>
      <c r="H99" s="29" t="s">
        <v>118</v>
      </c>
      <c r="I99" s="29" t="str">
        <f t="shared" si="13"/>
        <v>Qtr4</v>
      </c>
    </row>
    <row r="100" spans="1:9" x14ac:dyDescent="0.25">
      <c r="A100" s="26">
        <v>42201</v>
      </c>
      <c r="B100" s="27">
        <f t="shared" si="7"/>
        <v>2015</v>
      </c>
      <c r="C100" s="28">
        <f t="shared" si="8"/>
        <v>2</v>
      </c>
      <c r="D100" s="29" t="str">
        <f t="shared" si="9"/>
        <v>Qtr 2</v>
      </c>
      <c r="E100" s="29" t="str">
        <f t="shared" si="10"/>
        <v>2015-2016</v>
      </c>
      <c r="F100" s="29">
        <f t="shared" si="11"/>
        <v>2016</v>
      </c>
      <c r="G100" s="29" t="str">
        <f t="shared" si="12"/>
        <v>Qtr3 2015</v>
      </c>
      <c r="H100" s="29" t="s">
        <v>118</v>
      </c>
      <c r="I100" s="29" t="str">
        <f t="shared" si="13"/>
        <v>Qtr4</v>
      </c>
    </row>
    <row r="101" spans="1:9" x14ac:dyDescent="0.25">
      <c r="A101" s="26">
        <v>42005</v>
      </c>
      <c r="B101" s="27">
        <f t="shared" si="7"/>
        <v>2014</v>
      </c>
      <c r="C101" s="28">
        <f t="shared" si="8"/>
        <v>4</v>
      </c>
      <c r="D101" s="29" t="str">
        <f t="shared" si="9"/>
        <v>Qtr 4</v>
      </c>
      <c r="E101" s="29" t="str">
        <f t="shared" si="10"/>
        <v>2014-2015</v>
      </c>
      <c r="F101" s="29">
        <f t="shared" si="11"/>
        <v>2015</v>
      </c>
      <c r="G101" s="29" t="str">
        <f t="shared" si="12"/>
        <v>Qtr1 2015</v>
      </c>
      <c r="H101" s="29" t="s">
        <v>119</v>
      </c>
      <c r="I101" s="29" t="str">
        <f t="shared" si="13"/>
        <v>Qtr1</v>
      </c>
    </row>
    <row r="102" spans="1:9" x14ac:dyDescent="0.25">
      <c r="A102" s="26">
        <v>42046</v>
      </c>
      <c r="B102" s="27">
        <f t="shared" si="7"/>
        <v>2014</v>
      </c>
      <c r="C102" s="28">
        <f t="shared" si="8"/>
        <v>4</v>
      </c>
      <c r="D102" s="29" t="str">
        <f t="shared" si="9"/>
        <v>Qtr 4</v>
      </c>
      <c r="E102" s="29" t="str">
        <f t="shared" si="10"/>
        <v>2014-2015</v>
      </c>
      <c r="F102" s="29">
        <f t="shared" si="11"/>
        <v>2015</v>
      </c>
      <c r="G102" s="29" t="str">
        <f t="shared" si="12"/>
        <v>Qtr1 2015</v>
      </c>
      <c r="H102" s="29" t="s">
        <v>119</v>
      </c>
      <c r="I102" s="29" t="str">
        <f t="shared" si="13"/>
        <v>Qtr1</v>
      </c>
    </row>
    <row r="103" spans="1:9" x14ac:dyDescent="0.25">
      <c r="A103" s="26">
        <v>42062</v>
      </c>
      <c r="B103" s="27">
        <f t="shared" si="7"/>
        <v>2014</v>
      </c>
      <c r="C103" s="28">
        <f t="shared" si="8"/>
        <v>4</v>
      </c>
      <c r="D103" s="29" t="str">
        <f t="shared" si="9"/>
        <v>Qtr 4</v>
      </c>
      <c r="E103" s="29" t="str">
        <f t="shared" si="10"/>
        <v>2014-2015</v>
      </c>
      <c r="F103" s="29">
        <f t="shared" si="11"/>
        <v>2015</v>
      </c>
      <c r="G103" s="29" t="str">
        <f t="shared" si="12"/>
        <v>Qtr1 2015</v>
      </c>
      <c r="H103" s="29" t="s">
        <v>119</v>
      </c>
      <c r="I103" s="29" t="str">
        <f t="shared" si="13"/>
        <v>Qtr1</v>
      </c>
    </row>
    <row r="104" spans="1:9" x14ac:dyDescent="0.25">
      <c r="A104" s="26">
        <v>42364</v>
      </c>
      <c r="B104" s="27">
        <f t="shared" si="7"/>
        <v>2015</v>
      </c>
      <c r="C104" s="28">
        <f t="shared" si="8"/>
        <v>3</v>
      </c>
      <c r="D104" s="29" t="str">
        <f t="shared" si="9"/>
        <v>Qtr 3</v>
      </c>
      <c r="E104" s="29" t="str">
        <f t="shared" si="10"/>
        <v>2015-2016</v>
      </c>
      <c r="F104" s="29">
        <f t="shared" si="11"/>
        <v>2016</v>
      </c>
      <c r="G104" s="29" t="str">
        <f t="shared" si="12"/>
        <v>Qtr4 2015</v>
      </c>
      <c r="H104" s="29" t="s">
        <v>120</v>
      </c>
      <c r="I104" s="29" t="str">
        <f t="shared" si="13"/>
        <v>Qtr2</v>
      </c>
    </row>
    <row r="105" spans="1:9" x14ac:dyDescent="0.25">
      <c r="A105" s="26">
        <v>42369</v>
      </c>
      <c r="B105" s="27">
        <f t="shared" si="7"/>
        <v>2015</v>
      </c>
      <c r="C105" s="28">
        <f t="shared" si="8"/>
        <v>3</v>
      </c>
      <c r="D105" s="29" t="str">
        <f t="shared" si="9"/>
        <v>Qtr 3</v>
      </c>
      <c r="E105" s="29" t="str">
        <f t="shared" si="10"/>
        <v>2015-2016</v>
      </c>
      <c r="F105" s="29">
        <f t="shared" si="11"/>
        <v>2016</v>
      </c>
      <c r="G105" s="29" t="str">
        <f t="shared" si="12"/>
        <v>Qtr4 2015</v>
      </c>
      <c r="H105" s="29" t="s">
        <v>120</v>
      </c>
      <c r="I105" s="29" t="str">
        <f t="shared" si="13"/>
        <v>Qtr2</v>
      </c>
    </row>
    <row r="106" spans="1:9" x14ac:dyDescent="0.25">
      <c r="A106" s="26">
        <v>42073</v>
      </c>
      <c r="B106" s="27">
        <f t="shared" si="7"/>
        <v>2014</v>
      </c>
      <c r="C106" s="28">
        <f t="shared" si="8"/>
        <v>4</v>
      </c>
      <c r="D106" s="29" t="str">
        <f t="shared" si="9"/>
        <v>Qtr 4</v>
      </c>
      <c r="E106" s="29" t="str">
        <f t="shared" si="10"/>
        <v>2014-2015</v>
      </c>
      <c r="F106" s="29">
        <f t="shared" si="11"/>
        <v>2015</v>
      </c>
      <c r="G106" s="29" t="str">
        <f t="shared" si="12"/>
        <v>Qtr1 2015</v>
      </c>
      <c r="H106" s="29" t="s">
        <v>120</v>
      </c>
      <c r="I106" s="29" t="str">
        <f t="shared" si="13"/>
        <v>Qtr2</v>
      </c>
    </row>
    <row r="107" spans="1:9" x14ac:dyDescent="0.25">
      <c r="A107" s="26">
        <v>42241</v>
      </c>
      <c r="B107" s="27">
        <f t="shared" si="7"/>
        <v>2015</v>
      </c>
      <c r="C107" s="28">
        <f t="shared" si="8"/>
        <v>2</v>
      </c>
      <c r="D107" s="29" t="str">
        <f t="shared" si="9"/>
        <v>Qtr 2</v>
      </c>
      <c r="E107" s="29" t="str">
        <f t="shared" si="10"/>
        <v>2015-2016</v>
      </c>
      <c r="F107" s="29">
        <f t="shared" si="11"/>
        <v>2016</v>
      </c>
      <c r="G107" s="29" t="str">
        <f t="shared" si="12"/>
        <v>Qtr3 2015</v>
      </c>
      <c r="H107" s="29" t="s">
        <v>121</v>
      </c>
      <c r="I107" s="29" t="str">
        <f t="shared" si="13"/>
        <v>Qtr3</v>
      </c>
    </row>
    <row r="108" spans="1:9" x14ac:dyDescent="0.25">
      <c r="A108" s="26">
        <v>42206</v>
      </c>
      <c r="B108" s="27">
        <f t="shared" si="7"/>
        <v>2015</v>
      </c>
      <c r="C108" s="28">
        <f t="shared" si="8"/>
        <v>2</v>
      </c>
      <c r="D108" s="29" t="str">
        <f t="shared" si="9"/>
        <v>Qtr 2</v>
      </c>
      <c r="E108" s="29" t="str">
        <f t="shared" si="10"/>
        <v>2015-2016</v>
      </c>
      <c r="F108" s="29">
        <f t="shared" si="11"/>
        <v>2016</v>
      </c>
      <c r="G108" s="29" t="str">
        <f t="shared" si="12"/>
        <v>Qtr3 2015</v>
      </c>
      <c r="H108" s="29" t="s">
        <v>121</v>
      </c>
      <c r="I108" s="29" t="str">
        <f t="shared" si="13"/>
        <v>Qtr3</v>
      </c>
    </row>
    <row r="109" spans="1:9" x14ac:dyDescent="0.25">
      <c r="A109" s="26">
        <v>42197</v>
      </c>
      <c r="B109" s="27">
        <f t="shared" si="7"/>
        <v>2015</v>
      </c>
      <c r="C109" s="28">
        <f t="shared" si="8"/>
        <v>2</v>
      </c>
      <c r="D109" s="29" t="str">
        <f t="shared" si="9"/>
        <v>Qtr 2</v>
      </c>
      <c r="E109" s="29" t="str">
        <f t="shared" si="10"/>
        <v>2015-2016</v>
      </c>
      <c r="F109" s="29">
        <f t="shared" si="11"/>
        <v>2016</v>
      </c>
      <c r="G109" s="29" t="str">
        <f t="shared" si="12"/>
        <v>Qtr3 2015</v>
      </c>
      <c r="H109" s="29" t="s">
        <v>121</v>
      </c>
      <c r="I109" s="29" t="str">
        <f t="shared" si="13"/>
        <v>Qtr3</v>
      </c>
    </row>
    <row r="110" spans="1:9" x14ac:dyDescent="0.25">
      <c r="A110" s="26">
        <v>42082</v>
      </c>
      <c r="B110" s="27">
        <f t="shared" si="7"/>
        <v>2014</v>
      </c>
      <c r="C110" s="28">
        <f t="shared" si="8"/>
        <v>4</v>
      </c>
      <c r="D110" s="29" t="str">
        <f t="shared" si="9"/>
        <v>Qtr 4</v>
      </c>
      <c r="E110" s="29" t="str">
        <f t="shared" si="10"/>
        <v>2014-2015</v>
      </c>
      <c r="F110" s="29">
        <f t="shared" si="11"/>
        <v>2015</v>
      </c>
      <c r="G110" s="29" t="str">
        <f t="shared" si="12"/>
        <v>Qtr1 2015</v>
      </c>
      <c r="H110" s="29" t="s">
        <v>122</v>
      </c>
      <c r="I110" s="29" t="str">
        <f t="shared" si="13"/>
        <v>Qtr4</v>
      </c>
    </row>
    <row r="111" spans="1:9" x14ac:dyDescent="0.25">
      <c r="A111" s="26">
        <v>42107</v>
      </c>
      <c r="B111" s="27">
        <f t="shared" si="7"/>
        <v>2015</v>
      </c>
      <c r="C111" s="28">
        <f t="shared" si="8"/>
        <v>1</v>
      </c>
      <c r="D111" s="29" t="str">
        <f t="shared" si="9"/>
        <v>Qtr 1</v>
      </c>
      <c r="E111" s="29" t="str">
        <f t="shared" si="10"/>
        <v>2015-2016</v>
      </c>
      <c r="F111" s="29">
        <f t="shared" si="11"/>
        <v>2016</v>
      </c>
      <c r="G111" s="29" t="str">
        <f t="shared" si="12"/>
        <v>Qtr2 2015</v>
      </c>
      <c r="H111" s="29" t="s">
        <v>122</v>
      </c>
      <c r="I111" s="29" t="str">
        <f t="shared" si="13"/>
        <v>Qtr4</v>
      </c>
    </row>
    <row r="112" spans="1:9" x14ac:dyDescent="0.25">
      <c r="A112" s="26">
        <v>42086</v>
      </c>
      <c r="B112" s="27">
        <f t="shared" si="7"/>
        <v>2014</v>
      </c>
      <c r="C112" s="28">
        <f t="shared" si="8"/>
        <v>4</v>
      </c>
      <c r="D112" s="29" t="str">
        <f t="shared" si="9"/>
        <v>Qtr 4</v>
      </c>
      <c r="E112" s="29" t="str">
        <f t="shared" si="10"/>
        <v>2014-2015</v>
      </c>
      <c r="F112" s="29">
        <f t="shared" si="11"/>
        <v>2015</v>
      </c>
      <c r="G112" s="29" t="str">
        <f t="shared" si="12"/>
        <v>Qtr1 2015</v>
      </c>
      <c r="H112" s="29" t="s">
        <v>122</v>
      </c>
      <c r="I112" s="29" t="str">
        <f t="shared" si="13"/>
        <v>Qtr4</v>
      </c>
    </row>
    <row r="113" spans="1:9" x14ac:dyDescent="0.25">
      <c r="A113" s="26">
        <v>42224</v>
      </c>
      <c r="B113" s="27">
        <f t="shared" si="7"/>
        <v>2015</v>
      </c>
      <c r="C113" s="28">
        <f t="shared" si="8"/>
        <v>2</v>
      </c>
      <c r="D113" s="29" t="str">
        <f t="shared" si="9"/>
        <v>Qtr 2</v>
      </c>
      <c r="E113" s="29" t="str">
        <f t="shared" si="10"/>
        <v>2015-2016</v>
      </c>
      <c r="F113" s="29">
        <f t="shared" si="11"/>
        <v>2016</v>
      </c>
      <c r="G113" s="29" t="str">
        <f t="shared" si="12"/>
        <v>Qtr3 2015</v>
      </c>
      <c r="H113" s="29" t="s">
        <v>123</v>
      </c>
      <c r="I113" s="29" t="str">
        <f t="shared" si="13"/>
        <v>Qtr1</v>
      </c>
    </row>
    <row r="114" spans="1:9" x14ac:dyDescent="0.25">
      <c r="A114" s="26">
        <v>42128</v>
      </c>
      <c r="B114" s="27">
        <f t="shared" si="7"/>
        <v>2015</v>
      </c>
      <c r="C114" s="28">
        <f t="shared" si="8"/>
        <v>1</v>
      </c>
      <c r="D114" s="29" t="str">
        <f t="shared" si="9"/>
        <v>Qtr 1</v>
      </c>
      <c r="E114" s="29" t="str">
        <f t="shared" si="10"/>
        <v>2015-2016</v>
      </c>
      <c r="F114" s="29">
        <f t="shared" si="11"/>
        <v>2016</v>
      </c>
      <c r="G114" s="29" t="str">
        <f t="shared" si="12"/>
        <v>Qtr2 2015</v>
      </c>
      <c r="H114" s="29" t="s">
        <v>123</v>
      </c>
      <c r="I114" s="29" t="str">
        <f t="shared" si="13"/>
        <v>Qtr1</v>
      </c>
    </row>
    <row r="115" spans="1:9" x14ac:dyDescent="0.25">
      <c r="A115" s="26">
        <v>42149</v>
      </c>
      <c r="B115" s="27">
        <f t="shared" si="7"/>
        <v>2015</v>
      </c>
      <c r="C115" s="28">
        <f t="shared" si="8"/>
        <v>1</v>
      </c>
      <c r="D115" s="29" t="str">
        <f t="shared" si="9"/>
        <v>Qtr 1</v>
      </c>
      <c r="E115" s="29" t="str">
        <f t="shared" si="10"/>
        <v>2015-2016</v>
      </c>
      <c r="F115" s="29">
        <f t="shared" si="11"/>
        <v>2016</v>
      </c>
      <c r="G115" s="29" t="str">
        <f t="shared" si="12"/>
        <v>Qtr2 2015</v>
      </c>
      <c r="H115" s="29" t="s">
        <v>123</v>
      </c>
      <c r="I115" s="29" t="str">
        <f t="shared" si="13"/>
        <v>Qtr1</v>
      </c>
    </row>
    <row r="116" spans="1:9" x14ac:dyDescent="0.25">
      <c r="A116" s="26">
        <v>42364</v>
      </c>
      <c r="B116" s="27">
        <f t="shared" si="7"/>
        <v>2015</v>
      </c>
      <c r="C116" s="28">
        <f t="shared" si="8"/>
        <v>3</v>
      </c>
      <c r="D116" s="29" t="str">
        <f t="shared" si="9"/>
        <v>Qtr 3</v>
      </c>
      <c r="E116" s="29" t="str">
        <f t="shared" si="10"/>
        <v>2015-2016</v>
      </c>
      <c r="F116" s="29">
        <f t="shared" si="11"/>
        <v>2016</v>
      </c>
      <c r="G116" s="29" t="str">
        <f t="shared" si="12"/>
        <v>Qtr4 2015</v>
      </c>
      <c r="H116" s="29" t="s">
        <v>124</v>
      </c>
      <c r="I116" s="29" t="str">
        <f t="shared" si="13"/>
        <v>Qtr2</v>
      </c>
    </row>
    <row r="117" spans="1:9" x14ac:dyDescent="0.25">
      <c r="A117" s="26">
        <v>42103</v>
      </c>
      <c r="B117" s="27">
        <f t="shared" si="7"/>
        <v>2015</v>
      </c>
      <c r="C117" s="28">
        <f t="shared" si="8"/>
        <v>1</v>
      </c>
      <c r="D117" s="29" t="str">
        <f t="shared" si="9"/>
        <v>Qtr 1</v>
      </c>
      <c r="E117" s="29" t="str">
        <f t="shared" si="10"/>
        <v>2015-2016</v>
      </c>
      <c r="F117" s="29">
        <f t="shared" si="11"/>
        <v>2016</v>
      </c>
      <c r="G117" s="29" t="str">
        <f t="shared" si="12"/>
        <v>Qtr2 2015</v>
      </c>
      <c r="H117" s="29" t="s">
        <v>124</v>
      </c>
      <c r="I117" s="29" t="str">
        <f t="shared" si="13"/>
        <v>Qtr2</v>
      </c>
    </row>
    <row r="118" spans="1:9" x14ac:dyDescent="0.25">
      <c r="A118" s="26">
        <v>42237</v>
      </c>
      <c r="B118" s="27">
        <f t="shared" si="7"/>
        <v>2015</v>
      </c>
      <c r="C118" s="28">
        <f t="shared" si="8"/>
        <v>2</v>
      </c>
      <c r="D118" s="29" t="str">
        <f t="shared" si="9"/>
        <v>Qtr 2</v>
      </c>
      <c r="E118" s="29" t="str">
        <f t="shared" si="10"/>
        <v>2015-2016</v>
      </c>
      <c r="F118" s="29">
        <f t="shared" si="11"/>
        <v>2016</v>
      </c>
      <c r="G118" s="29" t="str">
        <f t="shared" si="12"/>
        <v>Qtr3 2015</v>
      </c>
      <c r="H118" s="29" t="s">
        <v>124</v>
      </c>
      <c r="I118" s="29" t="str">
        <f t="shared" si="13"/>
        <v>Qtr2</v>
      </c>
    </row>
    <row r="119" spans="1:9" x14ac:dyDescent="0.25">
      <c r="A119" s="26">
        <v>42180</v>
      </c>
      <c r="B119" s="27">
        <f t="shared" si="7"/>
        <v>2015</v>
      </c>
      <c r="C119" s="28">
        <f t="shared" si="8"/>
        <v>1</v>
      </c>
      <c r="D119" s="29" t="str">
        <f t="shared" si="9"/>
        <v>Qtr 1</v>
      </c>
      <c r="E119" s="29" t="str">
        <f t="shared" si="10"/>
        <v>2015-2016</v>
      </c>
      <c r="F119" s="29">
        <f t="shared" si="11"/>
        <v>2016</v>
      </c>
      <c r="G119" s="29" t="str">
        <f t="shared" si="12"/>
        <v>Qtr2 2015</v>
      </c>
      <c r="H119" s="29" t="s">
        <v>125</v>
      </c>
      <c r="I119" s="29" t="str">
        <f t="shared" si="13"/>
        <v>Qtr3</v>
      </c>
    </row>
    <row r="120" spans="1:9" x14ac:dyDescent="0.25">
      <c r="A120" s="26">
        <v>42332</v>
      </c>
      <c r="B120" s="27">
        <f t="shared" si="7"/>
        <v>2015</v>
      </c>
      <c r="C120" s="28">
        <f t="shared" si="8"/>
        <v>3</v>
      </c>
      <c r="D120" s="29" t="str">
        <f t="shared" si="9"/>
        <v>Qtr 3</v>
      </c>
      <c r="E120" s="29" t="str">
        <f t="shared" si="10"/>
        <v>2015-2016</v>
      </c>
      <c r="F120" s="29">
        <f t="shared" si="11"/>
        <v>2016</v>
      </c>
      <c r="G120" s="29" t="str">
        <f t="shared" si="12"/>
        <v>Qtr4 2015</v>
      </c>
      <c r="H120" s="29" t="s">
        <v>125</v>
      </c>
      <c r="I120" s="29" t="str">
        <f t="shared" si="13"/>
        <v>Qtr3</v>
      </c>
    </row>
    <row r="121" spans="1:9" x14ac:dyDescent="0.25">
      <c r="A121" s="26">
        <v>42309</v>
      </c>
      <c r="B121" s="27">
        <f t="shared" si="7"/>
        <v>2015</v>
      </c>
      <c r="C121" s="28">
        <f t="shared" si="8"/>
        <v>3</v>
      </c>
      <c r="D121" s="29" t="str">
        <f t="shared" si="9"/>
        <v>Qtr 3</v>
      </c>
      <c r="E121" s="29" t="str">
        <f t="shared" si="10"/>
        <v>2015-2016</v>
      </c>
      <c r="F121" s="29">
        <f t="shared" si="11"/>
        <v>2016</v>
      </c>
      <c r="G121" s="29" t="str">
        <f t="shared" si="12"/>
        <v>Qtr4 2015</v>
      </c>
      <c r="H121" s="29" t="s">
        <v>125</v>
      </c>
      <c r="I121" s="29" t="str">
        <f t="shared" si="13"/>
        <v>Qtr3</v>
      </c>
    </row>
    <row r="122" spans="1:9" x14ac:dyDescent="0.25">
      <c r="A122" s="26">
        <v>42251</v>
      </c>
      <c r="B122" s="27">
        <f t="shared" si="7"/>
        <v>2015</v>
      </c>
      <c r="C122" s="28">
        <f t="shared" si="8"/>
        <v>2</v>
      </c>
      <c r="D122" s="29" t="str">
        <f t="shared" si="9"/>
        <v>Qtr 2</v>
      </c>
      <c r="E122" s="29" t="str">
        <f t="shared" si="10"/>
        <v>2015-2016</v>
      </c>
      <c r="F122" s="29">
        <f t="shared" si="11"/>
        <v>2016</v>
      </c>
      <c r="G122" s="29" t="str">
        <f t="shared" si="12"/>
        <v>Qtr3 2015</v>
      </c>
      <c r="H122" s="29" t="s">
        <v>126</v>
      </c>
      <c r="I122" s="29" t="str">
        <f t="shared" si="13"/>
        <v>Qtr4</v>
      </c>
    </row>
    <row r="123" spans="1:9" x14ac:dyDescent="0.25">
      <c r="A123" s="26">
        <v>42263</v>
      </c>
      <c r="B123" s="27">
        <f t="shared" si="7"/>
        <v>2015</v>
      </c>
      <c r="C123" s="28">
        <f t="shared" si="8"/>
        <v>2</v>
      </c>
      <c r="D123" s="29" t="str">
        <f t="shared" si="9"/>
        <v>Qtr 2</v>
      </c>
      <c r="E123" s="29" t="str">
        <f t="shared" si="10"/>
        <v>2015-2016</v>
      </c>
      <c r="F123" s="29">
        <f t="shared" si="11"/>
        <v>2016</v>
      </c>
      <c r="G123" s="29" t="str">
        <f t="shared" si="12"/>
        <v>Qtr3 2015</v>
      </c>
      <c r="H123" s="29" t="s">
        <v>126</v>
      </c>
      <c r="I123" s="29" t="str">
        <f t="shared" si="13"/>
        <v>Qtr4</v>
      </c>
    </row>
    <row r="124" spans="1:9" x14ac:dyDescent="0.25">
      <c r="A124" s="26">
        <v>42297</v>
      </c>
      <c r="B124" s="27">
        <f t="shared" si="7"/>
        <v>2015</v>
      </c>
      <c r="C124" s="28">
        <f t="shared" si="8"/>
        <v>3</v>
      </c>
      <c r="D124" s="29" t="str">
        <f t="shared" si="9"/>
        <v>Qtr 3</v>
      </c>
      <c r="E124" s="29" t="str">
        <f t="shared" si="10"/>
        <v>2015-2016</v>
      </c>
      <c r="F124" s="29">
        <f t="shared" si="11"/>
        <v>2016</v>
      </c>
      <c r="G124" s="29" t="str">
        <f t="shared" si="12"/>
        <v>Qtr4 2015</v>
      </c>
      <c r="H124" s="29" t="s">
        <v>126</v>
      </c>
      <c r="I124" s="29" t="str">
        <f t="shared" si="13"/>
        <v>Qtr4</v>
      </c>
    </row>
    <row r="125" spans="1:9" x14ac:dyDescent="0.25">
      <c r="A125" s="26">
        <v>42122</v>
      </c>
      <c r="B125" s="27">
        <f t="shared" si="7"/>
        <v>2015</v>
      </c>
      <c r="C125" s="28">
        <f t="shared" si="8"/>
        <v>1</v>
      </c>
      <c r="D125" s="29" t="str">
        <f t="shared" si="9"/>
        <v>Qtr 1</v>
      </c>
      <c r="E125" s="29" t="str">
        <f t="shared" si="10"/>
        <v>2015-2016</v>
      </c>
      <c r="F125" s="29">
        <f t="shared" si="11"/>
        <v>2016</v>
      </c>
      <c r="G125" s="29" t="str">
        <f t="shared" si="12"/>
        <v>Qtr2 2015</v>
      </c>
      <c r="H125" s="29" t="s">
        <v>127</v>
      </c>
      <c r="I125" s="29" t="str">
        <f t="shared" si="13"/>
        <v>Qtr1</v>
      </c>
    </row>
    <row r="126" spans="1:9" x14ac:dyDescent="0.25">
      <c r="A126" s="26">
        <v>42100</v>
      </c>
      <c r="B126" s="27">
        <f t="shared" si="7"/>
        <v>2015</v>
      </c>
      <c r="C126" s="28">
        <f t="shared" si="8"/>
        <v>1</v>
      </c>
      <c r="D126" s="29" t="str">
        <f t="shared" si="9"/>
        <v>Qtr 1</v>
      </c>
      <c r="E126" s="29" t="str">
        <f t="shared" si="10"/>
        <v>2015-2016</v>
      </c>
      <c r="F126" s="29">
        <f t="shared" si="11"/>
        <v>2016</v>
      </c>
      <c r="G126" s="29" t="str">
        <f t="shared" si="12"/>
        <v>Qtr2 2015</v>
      </c>
      <c r="H126" s="29" t="s">
        <v>127</v>
      </c>
      <c r="I126" s="29" t="str">
        <f t="shared" si="13"/>
        <v>Qtr1</v>
      </c>
    </row>
    <row r="127" spans="1:9" x14ac:dyDescent="0.25">
      <c r="A127" s="26">
        <v>42191</v>
      </c>
      <c r="B127" s="27">
        <f t="shared" si="7"/>
        <v>2015</v>
      </c>
      <c r="C127" s="28">
        <f t="shared" si="8"/>
        <v>2</v>
      </c>
      <c r="D127" s="29" t="str">
        <f t="shared" si="9"/>
        <v>Qtr 2</v>
      </c>
      <c r="E127" s="29" t="str">
        <f t="shared" si="10"/>
        <v>2015-2016</v>
      </c>
      <c r="F127" s="29">
        <f t="shared" si="11"/>
        <v>2016</v>
      </c>
      <c r="G127" s="29" t="str">
        <f t="shared" si="12"/>
        <v>Qtr3 2015</v>
      </c>
      <c r="H127" s="29" t="s">
        <v>127</v>
      </c>
      <c r="I127" s="29" t="str">
        <f t="shared" si="13"/>
        <v>Qtr1</v>
      </c>
    </row>
    <row r="128" spans="1:9" x14ac:dyDescent="0.25">
      <c r="A128" s="26">
        <v>42367</v>
      </c>
      <c r="B128" s="27">
        <f t="shared" si="7"/>
        <v>2015</v>
      </c>
      <c r="C128" s="28">
        <f t="shared" si="8"/>
        <v>3</v>
      </c>
      <c r="D128" s="29" t="str">
        <f t="shared" si="9"/>
        <v>Qtr 3</v>
      </c>
      <c r="E128" s="29" t="str">
        <f t="shared" si="10"/>
        <v>2015-2016</v>
      </c>
      <c r="F128" s="29">
        <f t="shared" si="11"/>
        <v>2016</v>
      </c>
      <c r="G128" s="29" t="str">
        <f t="shared" si="12"/>
        <v>Qtr4 2015</v>
      </c>
      <c r="H128" s="29" t="s">
        <v>128</v>
      </c>
      <c r="I128" s="29" t="str">
        <f t="shared" si="13"/>
        <v>Qtr2</v>
      </c>
    </row>
    <row r="129" spans="1:9" x14ac:dyDescent="0.25">
      <c r="A129" s="26">
        <v>42265</v>
      </c>
      <c r="B129" s="27">
        <f t="shared" si="7"/>
        <v>2015</v>
      </c>
      <c r="C129" s="28">
        <f t="shared" si="8"/>
        <v>2</v>
      </c>
      <c r="D129" s="29" t="str">
        <f t="shared" si="9"/>
        <v>Qtr 2</v>
      </c>
      <c r="E129" s="29" t="str">
        <f t="shared" si="10"/>
        <v>2015-2016</v>
      </c>
      <c r="F129" s="29">
        <f t="shared" si="11"/>
        <v>2016</v>
      </c>
      <c r="G129" s="29" t="str">
        <f t="shared" si="12"/>
        <v>Qtr3 2015</v>
      </c>
      <c r="H129" s="29" t="s">
        <v>128</v>
      </c>
      <c r="I129" s="29" t="str">
        <f t="shared" si="13"/>
        <v>Qtr2</v>
      </c>
    </row>
    <row r="130" spans="1:9" x14ac:dyDescent="0.25">
      <c r="A130" s="26">
        <v>42326</v>
      </c>
      <c r="B130" s="27">
        <f t="shared" si="7"/>
        <v>2015</v>
      </c>
      <c r="C130" s="28">
        <f t="shared" si="8"/>
        <v>3</v>
      </c>
      <c r="D130" s="29" t="str">
        <f t="shared" si="9"/>
        <v>Qtr 3</v>
      </c>
      <c r="E130" s="29" t="str">
        <f t="shared" si="10"/>
        <v>2015-2016</v>
      </c>
      <c r="F130" s="29">
        <f t="shared" si="11"/>
        <v>2016</v>
      </c>
      <c r="G130" s="29" t="str">
        <f t="shared" si="12"/>
        <v>Qtr4 2015</v>
      </c>
      <c r="H130" s="29" t="s">
        <v>128</v>
      </c>
      <c r="I130" s="29" t="str">
        <f t="shared" si="13"/>
        <v>Qtr2</v>
      </c>
    </row>
    <row r="131" spans="1:9" x14ac:dyDescent="0.25">
      <c r="A131" s="26">
        <v>42337</v>
      </c>
      <c r="B131" s="27">
        <f t="shared" ref="B131:B157" si="14">YEAR(DATE(YEAR(A131),MONTH(A131)-3,1))</f>
        <v>2015</v>
      </c>
      <c r="C131" s="28">
        <f t="shared" ref="C131:C157" si="15">CHOOSE(MONTH(A131),4,4,4,1,1,1,2,2,2,3,3,3)</f>
        <v>3</v>
      </c>
      <c r="D131" s="29" t="str">
        <f t="shared" ref="D131:D157" si="16">"Qtr "&amp;CHOOSE(MONTH(A131),4,4,4,1,1,1,2,2,2,3,3,3)</f>
        <v>Qtr 3</v>
      </c>
      <c r="E131" s="29" t="str">
        <f t="shared" ref="E131:E157" si="17">YEAR(DATE(YEAR(A131),MONTH(A131)-3,1))&amp;"-"&amp;YEAR(DATE(YEAR(A131),MONTH(A131)+9,1))</f>
        <v>2015-2016</v>
      </c>
      <c r="F131" s="29">
        <f t="shared" ref="F131:F157" si="18">YEAR(A131)+(MONTH(A131)&gt;=4)</f>
        <v>2016</v>
      </c>
      <c r="G131" s="29" t="str">
        <f t="shared" ref="G131:G157" si="19">"Qtr"&amp;ROUNDUP(MONTH(A131)/3,0)&amp;" "&amp;YEAR(A131)</f>
        <v>Qtr4 2015</v>
      </c>
      <c r="H131" s="29" t="s">
        <v>129</v>
      </c>
      <c r="I131" s="29" t="str">
        <f t="shared" si="13"/>
        <v>Qtr3</v>
      </c>
    </row>
    <row r="132" spans="1:9" x14ac:dyDescent="0.25">
      <c r="A132" s="26">
        <v>42326</v>
      </c>
      <c r="B132" s="27">
        <f t="shared" si="14"/>
        <v>2015</v>
      </c>
      <c r="C132" s="28">
        <f t="shared" si="15"/>
        <v>3</v>
      </c>
      <c r="D132" s="29" t="str">
        <f t="shared" si="16"/>
        <v>Qtr 3</v>
      </c>
      <c r="E132" s="29" t="str">
        <f t="shared" si="17"/>
        <v>2015-2016</v>
      </c>
      <c r="F132" s="29">
        <f t="shared" si="18"/>
        <v>2016</v>
      </c>
      <c r="G132" s="29" t="str">
        <f t="shared" si="19"/>
        <v>Qtr4 2015</v>
      </c>
      <c r="H132" s="29" t="s">
        <v>129</v>
      </c>
      <c r="I132" s="29" t="str">
        <f t="shared" ref="I132:I157" si="20">LEFT(H132,3)&amp;IF(MID(H132,4,1)="1",4,MID(H132,4,1)-1)</f>
        <v>Qtr3</v>
      </c>
    </row>
    <row r="133" spans="1:9" x14ac:dyDescent="0.25">
      <c r="A133" s="26">
        <v>42021</v>
      </c>
      <c r="B133" s="27">
        <f t="shared" si="14"/>
        <v>2014</v>
      </c>
      <c r="C133" s="28">
        <f t="shared" si="15"/>
        <v>4</v>
      </c>
      <c r="D133" s="29" t="str">
        <f t="shared" si="16"/>
        <v>Qtr 4</v>
      </c>
      <c r="E133" s="29" t="str">
        <f t="shared" si="17"/>
        <v>2014-2015</v>
      </c>
      <c r="F133" s="29">
        <f t="shared" si="18"/>
        <v>2015</v>
      </c>
      <c r="G133" s="29" t="str">
        <f t="shared" si="19"/>
        <v>Qtr1 2015</v>
      </c>
      <c r="H133" s="29" t="s">
        <v>129</v>
      </c>
      <c r="I133" s="29" t="str">
        <f t="shared" si="20"/>
        <v>Qtr3</v>
      </c>
    </row>
    <row r="134" spans="1:9" x14ac:dyDescent="0.25">
      <c r="A134" s="26">
        <v>42024</v>
      </c>
      <c r="B134" s="27">
        <f t="shared" si="14"/>
        <v>2014</v>
      </c>
      <c r="C134" s="28">
        <f t="shared" si="15"/>
        <v>4</v>
      </c>
      <c r="D134" s="29" t="str">
        <f t="shared" si="16"/>
        <v>Qtr 4</v>
      </c>
      <c r="E134" s="29" t="str">
        <f t="shared" si="17"/>
        <v>2014-2015</v>
      </c>
      <c r="F134" s="29">
        <f t="shared" si="18"/>
        <v>2015</v>
      </c>
      <c r="G134" s="29" t="str">
        <f t="shared" si="19"/>
        <v>Qtr1 2015</v>
      </c>
      <c r="H134" s="29" t="s">
        <v>130</v>
      </c>
      <c r="I134" s="29" t="str">
        <f t="shared" si="20"/>
        <v>Qtr4</v>
      </c>
    </row>
    <row r="135" spans="1:9" x14ac:dyDescent="0.25">
      <c r="A135" s="26">
        <v>42289</v>
      </c>
      <c r="B135" s="27">
        <f t="shared" si="14"/>
        <v>2015</v>
      </c>
      <c r="C135" s="28">
        <f t="shared" si="15"/>
        <v>3</v>
      </c>
      <c r="D135" s="29" t="str">
        <f t="shared" si="16"/>
        <v>Qtr 3</v>
      </c>
      <c r="E135" s="29" t="str">
        <f t="shared" si="17"/>
        <v>2015-2016</v>
      </c>
      <c r="F135" s="29">
        <f t="shared" si="18"/>
        <v>2016</v>
      </c>
      <c r="G135" s="29" t="str">
        <f t="shared" si="19"/>
        <v>Qtr4 2015</v>
      </c>
      <c r="H135" s="29" t="s">
        <v>130</v>
      </c>
      <c r="I135" s="29" t="str">
        <f t="shared" si="20"/>
        <v>Qtr4</v>
      </c>
    </row>
    <row r="136" spans="1:9" x14ac:dyDescent="0.25">
      <c r="A136" s="26">
        <v>42289</v>
      </c>
      <c r="B136" s="27">
        <f t="shared" si="14"/>
        <v>2015</v>
      </c>
      <c r="C136" s="28">
        <f t="shared" si="15"/>
        <v>3</v>
      </c>
      <c r="D136" s="29" t="str">
        <f t="shared" si="16"/>
        <v>Qtr 3</v>
      </c>
      <c r="E136" s="29" t="str">
        <f t="shared" si="17"/>
        <v>2015-2016</v>
      </c>
      <c r="F136" s="29">
        <f t="shared" si="18"/>
        <v>2016</v>
      </c>
      <c r="G136" s="29" t="str">
        <f t="shared" si="19"/>
        <v>Qtr4 2015</v>
      </c>
      <c r="H136" s="29" t="s">
        <v>130</v>
      </c>
      <c r="I136" s="29" t="str">
        <f t="shared" si="20"/>
        <v>Qtr4</v>
      </c>
    </row>
    <row r="137" spans="1:9" x14ac:dyDescent="0.25">
      <c r="A137" s="26">
        <v>42064</v>
      </c>
      <c r="B137" s="27">
        <f t="shared" si="14"/>
        <v>2014</v>
      </c>
      <c r="C137" s="28">
        <f t="shared" si="15"/>
        <v>4</v>
      </c>
      <c r="D137" s="29" t="str">
        <f t="shared" si="16"/>
        <v>Qtr 4</v>
      </c>
      <c r="E137" s="29" t="str">
        <f t="shared" si="17"/>
        <v>2014-2015</v>
      </c>
      <c r="F137" s="29">
        <f t="shared" si="18"/>
        <v>2015</v>
      </c>
      <c r="G137" s="29" t="str">
        <f t="shared" si="19"/>
        <v>Qtr1 2015</v>
      </c>
      <c r="H137" s="29" t="s">
        <v>131</v>
      </c>
      <c r="I137" s="29" t="str">
        <f t="shared" si="20"/>
        <v>Qtr1</v>
      </c>
    </row>
    <row r="138" spans="1:9" x14ac:dyDescent="0.25">
      <c r="A138" s="26">
        <v>42221</v>
      </c>
      <c r="B138" s="27">
        <f t="shared" si="14"/>
        <v>2015</v>
      </c>
      <c r="C138" s="28">
        <f t="shared" si="15"/>
        <v>2</v>
      </c>
      <c r="D138" s="29" t="str">
        <f t="shared" si="16"/>
        <v>Qtr 2</v>
      </c>
      <c r="E138" s="29" t="str">
        <f t="shared" si="17"/>
        <v>2015-2016</v>
      </c>
      <c r="F138" s="29">
        <f t="shared" si="18"/>
        <v>2016</v>
      </c>
      <c r="G138" s="29" t="str">
        <f t="shared" si="19"/>
        <v>Qtr3 2015</v>
      </c>
      <c r="H138" s="29" t="s">
        <v>131</v>
      </c>
      <c r="I138" s="29" t="str">
        <f t="shared" si="20"/>
        <v>Qtr1</v>
      </c>
    </row>
    <row r="139" spans="1:9" x14ac:dyDescent="0.25">
      <c r="A139" s="26">
        <v>42207</v>
      </c>
      <c r="B139" s="27">
        <f t="shared" si="14"/>
        <v>2015</v>
      </c>
      <c r="C139" s="28">
        <f t="shared" si="15"/>
        <v>2</v>
      </c>
      <c r="D139" s="29" t="str">
        <f t="shared" si="16"/>
        <v>Qtr 2</v>
      </c>
      <c r="E139" s="29" t="str">
        <f t="shared" si="17"/>
        <v>2015-2016</v>
      </c>
      <c r="F139" s="29">
        <f t="shared" si="18"/>
        <v>2016</v>
      </c>
      <c r="G139" s="29" t="str">
        <f t="shared" si="19"/>
        <v>Qtr3 2015</v>
      </c>
      <c r="H139" s="29" t="s">
        <v>131</v>
      </c>
      <c r="I139" s="29" t="str">
        <f t="shared" si="20"/>
        <v>Qtr1</v>
      </c>
    </row>
    <row r="140" spans="1:9" x14ac:dyDescent="0.25">
      <c r="A140" s="26">
        <v>42096</v>
      </c>
      <c r="B140" s="27">
        <f t="shared" si="14"/>
        <v>2015</v>
      </c>
      <c r="C140" s="28">
        <f t="shared" si="15"/>
        <v>1</v>
      </c>
      <c r="D140" s="29" t="str">
        <f t="shared" si="16"/>
        <v>Qtr 1</v>
      </c>
      <c r="E140" s="29" t="str">
        <f t="shared" si="17"/>
        <v>2015-2016</v>
      </c>
      <c r="F140" s="29">
        <f t="shared" si="18"/>
        <v>2016</v>
      </c>
      <c r="G140" s="29" t="str">
        <f t="shared" si="19"/>
        <v>Qtr2 2015</v>
      </c>
      <c r="H140" s="29" t="s">
        <v>132</v>
      </c>
      <c r="I140" s="29" t="str">
        <f t="shared" si="20"/>
        <v>Qtr2</v>
      </c>
    </row>
    <row r="141" spans="1:9" x14ac:dyDescent="0.25">
      <c r="A141" s="26">
        <v>42251</v>
      </c>
      <c r="B141" s="27">
        <f t="shared" si="14"/>
        <v>2015</v>
      </c>
      <c r="C141" s="28">
        <f t="shared" si="15"/>
        <v>2</v>
      </c>
      <c r="D141" s="29" t="str">
        <f t="shared" si="16"/>
        <v>Qtr 2</v>
      </c>
      <c r="E141" s="29" t="str">
        <f t="shared" si="17"/>
        <v>2015-2016</v>
      </c>
      <c r="F141" s="29">
        <f t="shared" si="18"/>
        <v>2016</v>
      </c>
      <c r="G141" s="29" t="str">
        <f t="shared" si="19"/>
        <v>Qtr3 2015</v>
      </c>
      <c r="H141" s="29" t="s">
        <v>132</v>
      </c>
      <c r="I141" s="29" t="str">
        <f t="shared" si="20"/>
        <v>Qtr2</v>
      </c>
    </row>
    <row r="142" spans="1:9" x14ac:dyDescent="0.25">
      <c r="A142" s="26">
        <v>42181</v>
      </c>
      <c r="B142" s="27">
        <f t="shared" si="14"/>
        <v>2015</v>
      </c>
      <c r="C142" s="28">
        <f t="shared" si="15"/>
        <v>1</v>
      </c>
      <c r="D142" s="29" t="str">
        <f t="shared" si="16"/>
        <v>Qtr 1</v>
      </c>
      <c r="E142" s="29" t="str">
        <f t="shared" si="17"/>
        <v>2015-2016</v>
      </c>
      <c r="F142" s="29">
        <f t="shared" si="18"/>
        <v>2016</v>
      </c>
      <c r="G142" s="29" t="str">
        <f t="shared" si="19"/>
        <v>Qtr2 2015</v>
      </c>
      <c r="H142" s="29" t="s">
        <v>132</v>
      </c>
      <c r="I142" s="29" t="str">
        <f t="shared" si="20"/>
        <v>Qtr2</v>
      </c>
    </row>
    <row r="143" spans="1:9" x14ac:dyDescent="0.25">
      <c r="A143" s="26">
        <v>42217</v>
      </c>
      <c r="B143" s="27">
        <f t="shared" si="14"/>
        <v>2015</v>
      </c>
      <c r="C143" s="28">
        <f t="shared" si="15"/>
        <v>2</v>
      </c>
      <c r="D143" s="29" t="str">
        <f t="shared" si="16"/>
        <v>Qtr 2</v>
      </c>
      <c r="E143" s="29" t="str">
        <f t="shared" si="17"/>
        <v>2015-2016</v>
      </c>
      <c r="F143" s="29">
        <f t="shared" si="18"/>
        <v>2016</v>
      </c>
      <c r="G143" s="29" t="str">
        <f t="shared" si="19"/>
        <v>Qtr3 2015</v>
      </c>
      <c r="H143" s="29" t="s">
        <v>133</v>
      </c>
      <c r="I143" s="29" t="str">
        <f t="shared" si="20"/>
        <v>Qtr3</v>
      </c>
    </row>
    <row r="144" spans="1:9" x14ac:dyDescent="0.25">
      <c r="A144" s="26">
        <v>42082</v>
      </c>
      <c r="B144" s="27">
        <f t="shared" si="14"/>
        <v>2014</v>
      </c>
      <c r="C144" s="28">
        <f t="shared" si="15"/>
        <v>4</v>
      </c>
      <c r="D144" s="29" t="str">
        <f t="shared" si="16"/>
        <v>Qtr 4</v>
      </c>
      <c r="E144" s="29" t="str">
        <f t="shared" si="17"/>
        <v>2014-2015</v>
      </c>
      <c r="F144" s="29">
        <f t="shared" si="18"/>
        <v>2015</v>
      </c>
      <c r="G144" s="29" t="str">
        <f t="shared" si="19"/>
        <v>Qtr1 2015</v>
      </c>
      <c r="H144" s="29" t="s">
        <v>133</v>
      </c>
      <c r="I144" s="29" t="str">
        <f t="shared" si="20"/>
        <v>Qtr3</v>
      </c>
    </row>
    <row r="145" spans="1:9" x14ac:dyDescent="0.25">
      <c r="A145" s="26">
        <v>42259</v>
      </c>
      <c r="B145" s="27">
        <f t="shared" si="14"/>
        <v>2015</v>
      </c>
      <c r="C145" s="28">
        <f t="shared" si="15"/>
        <v>2</v>
      </c>
      <c r="D145" s="29" t="str">
        <f t="shared" si="16"/>
        <v>Qtr 2</v>
      </c>
      <c r="E145" s="29" t="str">
        <f t="shared" si="17"/>
        <v>2015-2016</v>
      </c>
      <c r="F145" s="29">
        <f t="shared" si="18"/>
        <v>2016</v>
      </c>
      <c r="G145" s="29" t="str">
        <f t="shared" si="19"/>
        <v>Qtr3 2015</v>
      </c>
      <c r="H145" s="29" t="s">
        <v>133</v>
      </c>
      <c r="I145" s="29" t="str">
        <f t="shared" si="20"/>
        <v>Qtr3</v>
      </c>
    </row>
    <row r="146" spans="1:9" x14ac:dyDescent="0.25">
      <c r="A146" s="26">
        <v>42194</v>
      </c>
      <c r="B146" s="27">
        <f t="shared" si="14"/>
        <v>2015</v>
      </c>
      <c r="C146" s="28">
        <f t="shared" si="15"/>
        <v>2</v>
      </c>
      <c r="D146" s="29" t="str">
        <f t="shared" si="16"/>
        <v>Qtr 2</v>
      </c>
      <c r="E146" s="29" t="str">
        <f t="shared" si="17"/>
        <v>2015-2016</v>
      </c>
      <c r="F146" s="29">
        <f t="shared" si="18"/>
        <v>2016</v>
      </c>
      <c r="G146" s="29" t="str">
        <f t="shared" si="19"/>
        <v>Qtr3 2015</v>
      </c>
      <c r="H146" s="29" t="s">
        <v>134</v>
      </c>
      <c r="I146" s="29" t="str">
        <f t="shared" si="20"/>
        <v>Qtr4</v>
      </c>
    </row>
    <row r="147" spans="1:9" x14ac:dyDescent="0.25">
      <c r="A147" s="26">
        <v>42250</v>
      </c>
      <c r="B147" s="27">
        <f t="shared" si="14"/>
        <v>2015</v>
      </c>
      <c r="C147" s="28">
        <f t="shared" si="15"/>
        <v>2</v>
      </c>
      <c r="D147" s="29" t="str">
        <f t="shared" si="16"/>
        <v>Qtr 2</v>
      </c>
      <c r="E147" s="29" t="str">
        <f t="shared" si="17"/>
        <v>2015-2016</v>
      </c>
      <c r="F147" s="29">
        <f t="shared" si="18"/>
        <v>2016</v>
      </c>
      <c r="G147" s="29" t="str">
        <f t="shared" si="19"/>
        <v>Qtr3 2015</v>
      </c>
      <c r="H147" s="29" t="s">
        <v>134</v>
      </c>
      <c r="I147" s="29" t="str">
        <f t="shared" si="20"/>
        <v>Qtr4</v>
      </c>
    </row>
    <row r="148" spans="1:9" x14ac:dyDescent="0.25">
      <c r="A148" s="26">
        <v>42193</v>
      </c>
      <c r="B148" s="27">
        <f t="shared" si="14"/>
        <v>2015</v>
      </c>
      <c r="C148" s="28">
        <f t="shared" si="15"/>
        <v>2</v>
      </c>
      <c r="D148" s="29" t="str">
        <f t="shared" si="16"/>
        <v>Qtr 2</v>
      </c>
      <c r="E148" s="29" t="str">
        <f t="shared" si="17"/>
        <v>2015-2016</v>
      </c>
      <c r="F148" s="29">
        <f t="shared" si="18"/>
        <v>2016</v>
      </c>
      <c r="G148" s="29" t="str">
        <f t="shared" si="19"/>
        <v>Qtr3 2015</v>
      </c>
      <c r="H148" s="29" t="s">
        <v>134</v>
      </c>
      <c r="I148" s="29" t="str">
        <f t="shared" si="20"/>
        <v>Qtr4</v>
      </c>
    </row>
    <row r="149" spans="1:9" x14ac:dyDescent="0.25">
      <c r="A149" s="26">
        <v>42287</v>
      </c>
      <c r="B149" s="27">
        <f t="shared" si="14"/>
        <v>2015</v>
      </c>
      <c r="C149" s="28">
        <f t="shared" si="15"/>
        <v>3</v>
      </c>
      <c r="D149" s="29" t="str">
        <f t="shared" si="16"/>
        <v>Qtr 3</v>
      </c>
      <c r="E149" s="29" t="str">
        <f t="shared" si="17"/>
        <v>2015-2016</v>
      </c>
      <c r="F149" s="29">
        <f t="shared" si="18"/>
        <v>2016</v>
      </c>
      <c r="G149" s="29" t="str">
        <f t="shared" si="19"/>
        <v>Qtr4 2015</v>
      </c>
      <c r="H149" s="29" t="s">
        <v>135</v>
      </c>
      <c r="I149" s="29" t="str">
        <f t="shared" si="20"/>
        <v>Qtr1</v>
      </c>
    </row>
    <row r="150" spans="1:9" x14ac:dyDescent="0.25">
      <c r="A150" s="26">
        <v>42092</v>
      </c>
      <c r="B150" s="27">
        <f t="shared" si="14"/>
        <v>2014</v>
      </c>
      <c r="C150" s="28">
        <f t="shared" si="15"/>
        <v>4</v>
      </c>
      <c r="D150" s="29" t="str">
        <f t="shared" si="16"/>
        <v>Qtr 4</v>
      </c>
      <c r="E150" s="29" t="str">
        <f t="shared" si="17"/>
        <v>2014-2015</v>
      </c>
      <c r="F150" s="29">
        <f t="shared" si="18"/>
        <v>2015</v>
      </c>
      <c r="G150" s="29" t="str">
        <f t="shared" si="19"/>
        <v>Qtr1 2015</v>
      </c>
      <c r="H150" s="29" t="s">
        <v>135</v>
      </c>
      <c r="I150" s="29" t="str">
        <f t="shared" si="20"/>
        <v>Qtr1</v>
      </c>
    </row>
    <row r="151" spans="1:9" x14ac:dyDescent="0.25">
      <c r="A151" s="26">
        <v>42091</v>
      </c>
      <c r="B151" s="27">
        <f t="shared" si="14"/>
        <v>2014</v>
      </c>
      <c r="C151" s="28">
        <f t="shared" si="15"/>
        <v>4</v>
      </c>
      <c r="D151" s="29" t="str">
        <f t="shared" si="16"/>
        <v>Qtr 4</v>
      </c>
      <c r="E151" s="29" t="str">
        <f t="shared" si="17"/>
        <v>2014-2015</v>
      </c>
      <c r="F151" s="29">
        <f t="shared" si="18"/>
        <v>2015</v>
      </c>
      <c r="G151" s="29" t="str">
        <f t="shared" si="19"/>
        <v>Qtr1 2015</v>
      </c>
      <c r="H151" s="29" t="s">
        <v>135</v>
      </c>
      <c r="I151" s="29" t="str">
        <f t="shared" si="20"/>
        <v>Qtr1</v>
      </c>
    </row>
    <row r="152" spans="1:9" x14ac:dyDescent="0.25">
      <c r="A152" s="26">
        <v>42189</v>
      </c>
      <c r="B152" s="27">
        <f t="shared" si="14"/>
        <v>2015</v>
      </c>
      <c r="C152" s="28">
        <f t="shared" si="15"/>
        <v>2</v>
      </c>
      <c r="D152" s="29" t="str">
        <f t="shared" si="16"/>
        <v>Qtr 2</v>
      </c>
      <c r="E152" s="29" t="str">
        <f t="shared" si="17"/>
        <v>2015-2016</v>
      </c>
      <c r="F152" s="29">
        <f t="shared" si="18"/>
        <v>2016</v>
      </c>
      <c r="G152" s="29" t="str">
        <f t="shared" si="19"/>
        <v>Qtr3 2015</v>
      </c>
      <c r="H152" s="29" t="s">
        <v>136</v>
      </c>
      <c r="I152" s="29" t="str">
        <f t="shared" si="20"/>
        <v>Qtr2</v>
      </c>
    </row>
    <row r="153" spans="1:9" x14ac:dyDescent="0.25">
      <c r="A153" s="26">
        <v>42163</v>
      </c>
      <c r="B153" s="27">
        <f t="shared" si="14"/>
        <v>2015</v>
      </c>
      <c r="C153" s="28">
        <f t="shared" si="15"/>
        <v>1</v>
      </c>
      <c r="D153" s="29" t="str">
        <f t="shared" si="16"/>
        <v>Qtr 1</v>
      </c>
      <c r="E153" s="29" t="str">
        <f t="shared" si="17"/>
        <v>2015-2016</v>
      </c>
      <c r="F153" s="29">
        <f t="shared" si="18"/>
        <v>2016</v>
      </c>
      <c r="G153" s="29" t="str">
        <f t="shared" si="19"/>
        <v>Qtr2 2015</v>
      </c>
      <c r="H153" s="29" t="s">
        <v>136</v>
      </c>
      <c r="I153" s="29" t="str">
        <f t="shared" si="20"/>
        <v>Qtr2</v>
      </c>
    </row>
    <row r="154" spans="1:9" x14ac:dyDescent="0.25">
      <c r="A154" s="26">
        <v>42306</v>
      </c>
      <c r="B154" s="27">
        <f t="shared" si="14"/>
        <v>2015</v>
      </c>
      <c r="C154" s="28">
        <f t="shared" si="15"/>
        <v>3</v>
      </c>
      <c r="D154" s="29" t="str">
        <f t="shared" si="16"/>
        <v>Qtr 3</v>
      </c>
      <c r="E154" s="29" t="str">
        <f t="shared" si="17"/>
        <v>2015-2016</v>
      </c>
      <c r="F154" s="29">
        <f t="shared" si="18"/>
        <v>2016</v>
      </c>
      <c r="G154" s="29" t="str">
        <f t="shared" si="19"/>
        <v>Qtr4 2015</v>
      </c>
      <c r="H154" s="29" t="s">
        <v>136</v>
      </c>
      <c r="I154" s="29" t="str">
        <f t="shared" si="20"/>
        <v>Qtr2</v>
      </c>
    </row>
    <row r="155" spans="1:9" x14ac:dyDescent="0.25">
      <c r="A155" s="26">
        <v>42183</v>
      </c>
      <c r="B155" s="27">
        <f t="shared" si="14"/>
        <v>2015</v>
      </c>
      <c r="C155" s="28">
        <f t="shared" si="15"/>
        <v>1</v>
      </c>
      <c r="D155" s="29" t="str">
        <f t="shared" si="16"/>
        <v>Qtr 1</v>
      </c>
      <c r="E155" s="29" t="str">
        <f t="shared" si="17"/>
        <v>2015-2016</v>
      </c>
      <c r="F155" s="29">
        <f t="shared" si="18"/>
        <v>2016</v>
      </c>
      <c r="G155" s="29" t="str">
        <f t="shared" si="19"/>
        <v>Qtr2 2015</v>
      </c>
      <c r="H155" s="29" t="s">
        <v>137</v>
      </c>
      <c r="I155" s="29" t="str">
        <f t="shared" si="20"/>
        <v>Qtr3</v>
      </c>
    </row>
    <row r="156" spans="1:9" x14ac:dyDescent="0.25">
      <c r="A156" s="26">
        <v>42115</v>
      </c>
      <c r="B156" s="27">
        <f t="shared" si="14"/>
        <v>2015</v>
      </c>
      <c r="C156" s="28">
        <f t="shared" si="15"/>
        <v>1</v>
      </c>
      <c r="D156" s="29" t="str">
        <f t="shared" si="16"/>
        <v>Qtr 1</v>
      </c>
      <c r="E156" s="29" t="str">
        <f t="shared" si="17"/>
        <v>2015-2016</v>
      </c>
      <c r="F156" s="29">
        <f t="shared" si="18"/>
        <v>2016</v>
      </c>
      <c r="G156" s="29" t="str">
        <f t="shared" si="19"/>
        <v>Qtr2 2015</v>
      </c>
      <c r="H156" s="29" t="s">
        <v>137</v>
      </c>
      <c r="I156" s="29" t="str">
        <f t="shared" si="20"/>
        <v>Qtr3</v>
      </c>
    </row>
    <row r="157" spans="1:9" x14ac:dyDescent="0.25">
      <c r="A157" s="26">
        <v>42103</v>
      </c>
      <c r="B157" s="27">
        <f t="shared" si="14"/>
        <v>2015</v>
      </c>
      <c r="C157" s="28">
        <f t="shared" si="15"/>
        <v>1</v>
      </c>
      <c r="D157" s="29" t="str">
        <f t="shared" si="16"/>
        <v>Qtr 1</v>
      </c>
      <c r="E157" s="29" t="str">
        <f t="shared" si="17"/>
        <v>2015-2016</v>
      </c>
      <c r="F157" s="29">
        <f t="shared" si="18"/>
        <v>2016</v>
      </c>
      <c r="G157" s="29" t="str">
        <f t="shared" si="19"/>
        <v>Qtr2 2015</v>
      </c>
      <c r="H157" s="29" t="s">
        <v>137</v>
      </c>
      <c r="I157" s="29" t="str">
        <f t="shared" si="20"/>
        <v>Qtr3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Date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dc:creator>
  <cp:lastModifiedBy>Reshma V A</cp:lastModifiedBy>
  <dcterms:created xsi:type="dcterms:W3CDTF">2023-05-07T09:02:52Z</dcterms:created>
  <dcterms:modified xsi:type="dcterms:W3CDTF">2026-05-07T17:39:30Z</dcterms:modified>
</cp:coreProperties>
</file>